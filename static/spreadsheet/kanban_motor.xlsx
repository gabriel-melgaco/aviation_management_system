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NBAN_MOTOR" sheetId="1" state="visible" r:id="rId3"/>
  </sheets>
  <definedNames>
    <definedName function="false" hidden="true" localSheetId="0" name="_xlnm._FilterDatabase" vbProcedure="false">KANBAN_MOTOR!$A$1:$L$866</definedName>
    <definedName function="false" hidden="false" name="SL212M5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<sst xmlns="http://schemas.openxmlformats.org/spreadsheetml/2006/main" count="245" uniqueCount="134">
  <si>
    <t xml:space="preserve">CASE</t>
  </si>
  <si>
    <t xml:space="preserve">ITEM</t>
  </si>
  <si>
    <t xml:space="preserve">MPN</t>
  </si>
  <si>
    <t xml:space="preserve">Nome</t>
  </si>
  <si>
    <t xml:space="preserve">QTD</t>
  </si>
  <si>
    <t xml:space="preserve">CAPÍTULO DO MANUAL</t>
  </si>
  <si>
    <t xml:space="preserve">FIGURA</t>
  </si>
  <si>
    <t xml:space="preserve">QTD PREVISTA</t>
  </si>
  <si>
    <t xml:space="preserve">PEDIR</t>
  </si>
  <si>
    <t xml:space="preserve">ENTRADA</t>
  </si>
  <si>
    <t xml:space="preserve">SAIDA</t>
  </si>
  <si>
    <t xml:space="preserve">SAÍDA JANEIRO</t>
  </si>
  <si>
    <t xml:space="preserve">preformed packing</t>
  </si>
  <si>
    <t xml:space="preserve">73-11-00</t>
  </si>
  <si>
    <t xml:space="preserve">73-12-01</t>
  </si>
  <si>
    <t xml:space="preserve">73-25-00</t>
  </si>
  <si>
    <t xml:space="preserve">MEXER</t>
  </si>
  <si>
    <t xml:space="preserve">SOMENTE NAS SAÍDAS,</t>
  </si>
  <si>
    <t xml:space="preserve">NUT</t>
  </si>
  <si>
    <t xml:space="preserve">POR FAVOR</t>
  </si>
  <si>
    <t xml:space="preserve">PACKING,PREFORMED</t>
  </si>
  <si>
    <t xml:space="preserve">72–11-00</t>
  </si>
  <si>
    <t xml:space="preserve">corrujoint gasket</t>
  </si>
  <si>
    <t xml:space="preserve">2 (5013)</t>
  </si>
  <si>
    <t xml:space="preserve">23350CA050 (9998050021)</t>
  </si>
  <si>
    <t xml:space="preserve">lock</t>
  </si>
  <si>
    <t xml:space="preserve">72-43-00</t>
  </si>
  <si>
    <t xml:space="preserve">1(ciavex)</t>
  </si>
  <si>
    <t xml:space="preserve">2 (5002)</t>
  </si>
  <si>
    <t xml:space="preserve">4 (5002)</t>
  </si>
  <si>
    <t xml:space="preserve">46012A00690 (9794410069)</t>
  </si>
  <si>
    <t xml:space="preserve">71-71-00</t>
  </si>
  <si>
    <t xml:space="preserve">46012A01120 (9794410112)</t>
  </si>
  <si>
    <t xml:space="preserve">72-11-00</t>
  </si>
  <si>
    <t xml:space="preserve">1(5002)</t>
  </si>
  <si>
    <t xml:space="preserve">seal</t>
  </si>
  <si>
    <t xml:space="preserve">5 (5013)</t>
  </si>
  <si>
    <t xml:space="preserve">79-34-00</t>
  </si>
  <si>
    <t xml:space="preserve">80-11-00</t>
  </si>
  <si>
    <t xml:space="preserve">Attaching Tab</t>
  </si>
  <si>
    <t xml:space="preserve">2 ( 5002)</t>
  </si>
  <si>
    <t xml:space="preserve">75-31-00</t>
  </si>
  <si>
    <t xml:space="preserve">298738130  (0298738130)</t>
  </si>
  <si>
    <t xml:space="preserve">Base Assy</t>
  </si>
  <si>
    <t xml:space="preserve">1 (5002)</t>
  </si>
  <si>
    <t xml:space="preserve">CA01617A (9560171240)</t>
  </si>
  <si>
    <t xml:space="preserve">Element, fuel filtering</t>
  </si>
  <si>
    <t xml:space="preserve">H453-1 (9550104530)</t>
  </si>
  <si>
    <t xml:space="preserve">Fire Detector</t>
  </si>
  <si>
    <t xml:space="preserve">100B</t>
  </si>
  <si>
    <t xml:space="preserve">filter element</t>
  </si>
  <si>
    <t xml:space="preserve">jam nut</t>
  </si>
  <si>
    <t xml:space="preserve">Cherry Max Rivet CR 3523_4_03</t>
  </si>
  <si>
    <t xml:space="preserve">Cherry Max Rivet CR 3523_4_02</t>
  </si>
  <si>
    <t xml:space="preserve">segment</t>
  </si>
  <si>
    <t xml:space="preserve">clamp</t>
  </si>
  <si>
    <t xml:space="preserve">circlip</t>
  </si>
  <si>
    <t xml:space="preserve">71-71-02</t>
  </si>
  <si>
    <t xml:space="preserve">10A</t>
  </si>
  <si>
    <t xml:space="preserve">ring</t>
  </si>
  <si>
    <t xml:space="preserve"> </t>
  </si>
  <si>
    <t xml:space="preserve">washer</t>
  </si>
  <si>
    <t xml:space="preserve">spacer</t>
  </si>
  <si>
    <t xml:space="preserve">retaining plate</t>
  </si>
  <si>
    <t xml:space="preserve">retaining ring</t>
  </si>
  <si>
    <t xml:space="preserve">TAB</t>
  </si>
  <si>
    <t xml:space="preserve">78-11-01</t>
  </si>
  <si>
    <t xml:space="preserve">140A</t>
  </si>
  <si>
    <t xml:space="preserve">Reinforcement</t>
  </si>
  <si>
    <t xml:space="preserve">9550700140</t>
  </si>
  <si>
    <t xml:space="preserve">9550700130</t>
  </si>
  <si>
    <t xml:space="preserve">298307500 (0298307500)</t>
  </si>
  <si>
    <t xml:space="preserve">injector</t>
  </si>
  <si>
    <t xml:space="preserve">48502000 (9560176460)</t>
  </si>
  <si>
    <t xml:space="preserve">heat shield (PRE TU92)</t>
  </si>
  <si>
    <t xml:space="preserve">78-11-00</t>
  </si>
  <si>
    <t xml:space="preserve">200A</t>
  </si>
  <si>
    <t xml:space="preserve">TC D 09-K20-000  (9550179270)</t>
  </si>
  <si>
    <t xml:space="preserve">Thermocouple</t>
  </si>
  <si>
    <t xml:space="preserve">77-21-00</t>
  </si>
  <si>
    <t xml:space="preserve">11A</t>
  </si>
  <si>
    <t xml:space="preserve">SC3940 (9550394000)</t>
  </si>
  <si>
    <t xml:space="preserve">igniter</t>
  </si>
  <si>
    <t xml:space="preserve">150A</t>
  </si>
  <si>
    <t xml:space="preserve">clip</t>
  </si>
  <si>
    <t xml:space="preserve">clamp (tyrap) ALTA TEMPERATURA</t>
  </si>
  <si>
    <t xml:space="preserve">71-51-00</t>
  </si>
  <si>
    <t xml:space="preserve">26-12-00-</t>
  </si>
  <si>
    <t xml:space="preserve">24A</t>
  </si>
  <si>
    <t xml:space="preserve">bonding braid</t>
  </si>
  <si>
    <t xml:space="preserve">23112CF050 (9975050024)</t>
  </si>
  <si>
    <t xml:space="preserve">bracket</t>
  </si>
  <si>
    <t xml:space="preserve">77-16-00</t>
  </si>
  <si>
    <t xml:space="preserve">WASHER</t>
  </si>
  <si>
    <t xml:space="preserve">26-11-00-02</t>
  </si>
  <si>
    <t xml:space="preserve">298710760 (0298710760)</t>
  </si>
  <si>
    <t xml:space="preserve">GASKET</t>
  </si>
  <si>
    <t xml:space="preserve">ATTACHING TAB</t>
  </si>
  <si>
    <t xml:space="preserve">REINFORCEMENT</t>
  </si>
  <si>
    <t xml:space="preserve">78-11-01-01</t>
  </si>
  <si>
    <t xml:space="preserve">135A</t>
  </si>
  <si>
    <t xml:space="preserve">AS12812 (0400410020)</t>
  </si>
  <si>
    <t xml:space="preserve">HALF CLAMP, INNER</t>
  </si>
  <si>
    <t xml:space="preserve">AS12874 (0400430080)</t>
  </si>
  <si>
    <t xml:space="preserve">SLEEVE</t>
  </si>
  <si>
    <t xml:space="preserve">SEAL WASHER</t>
  </si>
  <si>
    <t xml:space="preserve">408341A1 (9520010859)</t>
  </si>
  <si>
    <t xml:space="preserve">BRUSH</t>
  </si>
  <si>
    <t xml:space="preserve">80-11-00-02</t>
  </si>
  <si>
    <t xml:space="preserve">323754 (9550121770)</t>
  </si>
  <si>
    <t xml:space="preserve">EXTENSION</t>
  </si>
  <si>
    <t xml:space="preserve">BR 105 5502 (9550180132)</t>
  </si>
  <si>
    <t xml:space="preserve">CABLE</t>
  </si>
  <si>
    <t xml:space="preserve">72-11-00-01</t>
  </si>
  <si>
    <t xml:space="preserve">18-087 010 00 (9560177540)- (48502000)-(9560176460)</t>
  </si>
  <si>
    <t xml:space="preserve">HEAT SHIELD (POST TU92)</t>
  </si>
  <si>
    <t xml:space="preserve">22145CM050018E (9806051825)</t>
  </si>
  <si>
    <t xml:space="preserve">SCREW</t>
  </si>
  <si>
    <t xml:space="preserve">EN3686050018 (9836405018)</t>
  </si>
  <si>
    <t xml:space="preserve">EN3686070024 (9836407024)- 0298760180- 0298760110</t>
  </si>
  <si>
    <t xml:space="preserve">010A</t>
  </si>
  <si>
    <t xml:space="preserve">EN3196-040 (9867500401)</t>
  </si>
  <si>
    <t xml:space="preserve">FLAT WASHER</t>
  </si>
  <si>
    <t xml:space="preserve">SUPORTE ANGULAR DE AÇO</t>
  </si>
  <si>
    <t xml:space="preserve">300A</t>
  </si>
  <si>
    <t xml:space="preserve">056A</t>
  </si>
  <si>
    <t xml:space="preserve">(EN3687-070024) 9836607024</t>
  </si>
  <si>
    <t xml:space="preserve">screw</t>
  </si>
  <si>
    <t xml:space="preserve">72-00-00-01</t>
  </si>
  <si>
    <t xml:space="preserve">low oil pressure switgh</t>
  </si>
  <si>
    <t xml:space="preserve">79-31-00-01</t>
  </si>
  <si>
    <t xml:space="preserve">(503138-1) 9610064120</t>
  </si>
  <si>
    <t xml:space="preserve">terminal cover starter</t>
  </si>
  <si>
    <t xml:space="preserve">KIT  MAKILA 2A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</si>
</sst>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6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Calibri"/>
      <family val="0"/>
      <charset val="1"/>
    </font>
    <font>
      <b val="true"/>
      <sz val="19"/>
      <color theme="1"/>
      <name val="Calibri"/>
      <family val="0"/>
      <charset val="1"/>
    </font>
    <font>
      <b val="true"/>
      <sz val="14"/>
      <color theme="1"/>
      <name val="Calibri"/>
      <family val="0"/>
      <charset val="1"/>
    </font>
    <font>
      <b val="true"/>
      <sz val="18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7"/>
      <color rgb="FF000000"/>
      <name val="Calibri"/>
      <family val="0"/>
      <charset val="1"/>
    </font>
    <font>
      <b val="true"/>
      <sz val="18"/>
      <color rgb="FF000000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sz val="11"/>
      <color theme="1"/>
      <name val="Calibri"/>
      <family val="0"/>
      <charset val="1"/>
    </font>
    <font>
      <sz val="12"/>
      <color rgb="FF3F3F3F"/>
      <name val="&quot;Times New Roman&quot;"/>
      <family val="0"/>
      <charset val="1"/>
    </font>
    <font>
      <sz val="19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sz val="18"/>
      <color theme="1"/>
      <name val="Calibri"/>
      <family val="0"/>
      <charset val="1"/>
    </font>
    <font>
      <sz val="31"/>
      <color theme="1"/>
      <name val="Calibri"/>
      <family val="0"/>
      <charset val="1"/>
    </font>
    <font>
      <sz val="10"/>
      <color theme="1"/>
      <name val="Calibri"/>
      <family val="0"/>
      <charset val="1"/>
    </font>
    <font>
      <sz val="10"/>
      <color rgb="FF3F3F3F"/>
      <name val="&quot;Times New Roman&quot;"/>
      <family val="0"/>
      <charset val="1"/>
    </font>
    <font>
      <sz val="12"/>
      <color rgb="FF000000"/>
      <name val="&quot;Times New Roman&quot;"/>
      <family val="0"/>
      <charset val="1"/>
    </font>
    <font>
      <b val="true"/>
      <sz val="12"/>
      <color rgb="FF3F3F3F"/>
      <name val="&quot;Times New Roman&quot;"/>
      <family val="0"/>
      <charset val="1"/>
    </font>
    <font>
      <b val="true"/>
      <sz val="10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sz val="14"/>
      <color theme="1"/>
      <name val="Calibri"/>
      <family val="0"/>
      <charset val="1"/>
    </font>
    <font>
      <sz val="11"/>
      <color theme="1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2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3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2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F3F3F"/>
          <bgColor rgb="FF000000"/>
        </patternFill>
      </fill>
    </dxf>
    <dxf>
      <fill>
        <patternFill patternType="solid">
          <fgColor rgb="FFCE181E"/>
          <bgColor rgb="FF000000"/>
        </patternFill>
      </fill>
    </dxf>
    <dxf>
      <fill>
        <patternFill>
          <bgColor rgb="FFCE181E"/>
        </patternFill>
      </fill>
    </dxf>
  </dxf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41" activeCellId="0" sqref="B14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6.19"/>
    <col collapsed="false" customWidth="true" hidden="false" outlineLevel="0" max="2" min="2" style="1" width="30.42"/>
    <col collapsed="false" customWidth="true" hidden="false" outlineLevel="0" max="3" min="3" style="2" width="30.42"/>
    <col collapsed="false" customWidth="true" hidden="false" outlineLevel="0" max="4" min="4" style="2" width="31.03"/>
    <col collapsed="false" customWidth="true" hidden="false" outlineLevel="0" max="5" min="5" style="2" width="18.43"/>
    <col collapsed="false" customWidth="true" hidden="false" outlineLevel="0" max="6" min="6" style="3" width="18.65"/>
    <col collapsed="false" customWidth="true" hidden="false" outlineLevel="0" max="7" min="7" style="2" width="12.12"/>
    <col collapsed="false" customWidth="true" hidden="false" outlineLevel="0" max="8" min="8" style="2" width="9.54"/>
    <col collapsed="false" customWidth="true" hidden="false" outlineLevel="0" max="9" min="9" style="2" width="18.24"/>
    <col collapsed="false" customWidth="true" hidden="false" outlineLevel="0" max="10" min="10" style="2" width="10.29"/>
    <col collapsed="false" customWidth="true" hidden="false" outlineLevel="0" max="11" min="11" style="2" width="18.85"/>
    <col collapsed="false" customWidth="true" hidden="false" outlineLevel="0" max="12" min="12" style="2" width="18"/>
    <col collapsed="false" customWidth="true" hidden="false" outlineLevel="0" max="13" min="13" style="2" width="41.86"/>
    <col collapsed="false" customWidth="true" hidden="false" outlineLevel="0" max="14" min="14" style="2" width="4.86"/>
    <col collapsed="false" customWidth="true" hidden="false" outlineLevel="0" max="15" min="15" style="2" width="6.86"/>
  </cols>
  <sheetData>
    <row r="1" customFormat="false" ht="23.85" hidden="false" customHeight="false" outlineLevel="0" collapsed="false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9" t="s">
        <v>1</v>
      </c>
      <c r="I1" s="9" t="s">
        <v>7</v>
      </c>
      <c r="J1" s="9" t="s">
        <v>8</v>
      </c>
      <c r="K1" s="10" t="s">
        <v>9</v>
      </c>
      <c r="L1" s="11" t="s">
        <v>10</v>
      </c>
      <c r="M1" s="12" t="s">
        <v>11</v>
      </c>
    </row>
    <row r="2" customFormat="false" ht="23.25" hidden="false" customHeight="false" outlineLevel="0" collapsed="false">
      <c r="A2" s="13" t="n">
        <v>1</v>
      </c>
      <c r="B2" s="13"/>
      <c r="C2" s="13" t="n">
        <v>9794710160</v>
      </c>
      <c r="D2" s="14" t="s">
        <v>12</v>
      </c>
      <c r="E2" s="15" t="n">
        <f aca="false">K2-L2</f>
        <v>8</v>
      </c>
      <c r="F2" s="16" t="s">
        <v>13</v>
      </c>
      <c r="G2" s="17" t="n">
        <v>1</v>
      </c>
      <c r="H2" s="17" t="n">
        <v>60</v>
      </c>
      <c r="I2" s="13" t="n">
        <v>4</v>
      </c>
      <c r="J2" s="13" t="n">
        <f aca="false">IF(I2-E2 &lt;0,0,I2-E2)</f>
        <v>0</v>
      </c>
      <c r="K2" s="13" t="n">
        <v>8</v>
      </c>
      <c r="L2" s="7"/>
      <c r="M2" s="18"/>
    </row>
    <row r="3" customFormat="false" ht="23.25" hidden="false" customHeight="false" outlineLevel="0" collapsed="false">
      <c r="A3" s="13" t="n">
        <v>2</v>
      </c>
      <c r="B3" s="13"/>
      <c r="C3" s="13" t="n">
        <v>9794710258</v>
      </c>
      <c r="D3" s="14" t="s">
        <v>12</v>
      </c>
      <c r="E3" s="15" t="n">
        <f aca="false">K3-L3</f>
        <v>14</v>
      </c>
      <c r="F3" s="19" t="s">
        <v>14</v>
      </c>
      <c r="G3" s="17" t="n">
        <v>1</v>
      </c>
      <c r="H3" s="17" t="n">
        <v>200</v>
      </c>
      <c r="I3" s="13" t="n">
        <v>20</v>
      </c>
      <c r="J3" s="13" t="n">
        <f aca="false">IF(I3-E3 &lt;0,0,I3-E3)</f>
        <v>6</v>
      </c>
      <c r="K3" s="13" t="n">
        <v>23</v>
      </c>
      <c r="L3" s="7" t="n">
        <v>9</v>
      </c>
      <c r="M3" s="18"/>
    </row>
    <row r="4" customFormat="false" ht="37.4" hidden="false" customHeight="false" outlineLevel="0" collapsed="false">
      <c r="A4" s="13" t="n">
        <v>3</v>
      </c>
      <c r="B4" s="13"/>
      <c r="C4" s="13" t="n">
        <v>9794710265</v>
      </c>
      <c r="D4" s="14" t="s">
        <v>12</v>
      </c>
      <c r="E4" s="15" t="n">
        <f aca="false">K4-L4</f>
        <v>8</v>
      </c>
      <c r="F4" s="16" t="s">
        <v>15</v>
      </c>
      <c r="G4" s="17" t="n">
        <v>1</v>
      </c>
      <c r="H4" s="17" t="n">
        <v>110</v>
      </c>
      <c r="I4" s="13" t="n">
        <v>8</v>
      </c>
      <c r="J4" s="13" t="n">
        <f aca="false">IF(I4-E4 &lt;0,0,I4-E4)</f>
        <v>0</v>
      </c>
      <c r="K4" s="13" t="n">
        <v>13</v>
      </c>
      <c r="L4" s="7" t="n">
        <v>5</v>
      </c>
      <c r="M4" s="18"/>
      <c r="P4" s="20" t="s">
        <v>16</v>
      </c>
      <c r="Q4" s="20"/>
      <c r="R4" s="20"/>
      <c r="S4" s="20"/>
    </row>
    <row r="5" customFormat="false" ht="37.4" hidden="false" customHeight="false" outlineLevel="0" collapsed="false">
      <c r="A5" s="13" t="n">
        <v>4</v>
      </c>
      <c r="B5" s="13"/>
      <c r="C5" s="13" t="n">
        <v>9794710280</v>
      </c>
      <c r="D5" s="14" t="s">
        <v>12</v>
      </c>
      <c r="E5" s="15" t="n">
        <f aca="false">K5-L5</f>
        <v>20</v>
      </c>
      <c r="F5" s="16" t="s">
        <v>13</v>
      </c>
      <c r="G5" s="17" t="n">
        <v>1</v>
      </c>
      <c r="H5" s="17" t="n">
        <v>50</v>
      </c>
      <c r="I5" s="13" t="n">
        <v>20</v>
      </c>
      <c r="J5" s="13" t="n">
        <f aca="false">IF(I5-E5 &lt;0,0,I5-E5)</f>
        <v>0</v>
      </c>
      <c r="K5" s="13" t="n">
        <v>20</v>
      </c>
      <c r="L5" s="7"/>
      <c r="M5" s="18"/>
      <c r="P5" s="20" t="s">
        <v>17</v>
      </c>
      <c r="Q5" s="20"/>
      <c r="R5" s="20"/>
      <c r="S5" s="20"/>
    </row>
    <row r="6" customFormat="false" ht="37.4" hidden="false" customHeight="false" outlineLevel="0" collapsed="false">
      <c r="A6" s="13" t="n">
        <v>5</v>
      </c>
      <c r="B6" s="13"/>
      <c r="C6" s="13" t="n">
        <v>9866305025</v>
      </c>
      <c r="D6" s="14" t="s">
        <v>18</v>
      </c>
      <c r="E6" s="15" t="n">
        <f aca="false">K6-L6</f>
        <v>25</v>
      </c>
      <c r="F6" s="21"/>
      <c r="G6" s="22"/>
      <c r="H6" s="22"/>
      <c r="I6" s="13" t="n">
        <v>8</v>
      </c>
      <c r="J6" s="13" t="n">
        <f aca="false">IF(I6-E6 &lt;0,0,I6-E6)</f>
        <v>0</v>
      </c>
      <c r="K6" s="13" t="n">
        <v>33</v>
      </c>
      <c r="L6" s="7" t="n">
        <v>8</v>
      </c>
      <c r="M6" s="18"/>
      <c r="P6" s="20" t="s">
        <v>19</v>
      </c>
      <c r="Q6" s="20"/>
      <c r="R6" s="20"/>
      <c r="S6" s="20"/>
    </row>
    <row r="7" customFormat="false" ht="23.25" hidden="false" customHeight="false" outlineLevel="0" collapsed="false">
      <c r="A7" s="13" t="n">
        <v>6</v>
      </c>
      <c r="B7" s="13"/>
      <c r="C7" s="13" t="n">
        <v>9867700050</v>
      </c>
      <c r="D7" s="13"/>
      <c r="E7" s="15" t="n">
        <f aca="false">K7-L7</f>
        <v>31</v>
      </c>
      <c r="F7" s="21"/>
      <c r="G7" s="22"/>
      <c r="H7" s="22"/>
      <c r="I7" s="13"/>
      <c r="J7" s="13" t="n">
        <f aca="false">IF(I7-E7 &lt;0,0,I7-E7)</f>
        <v>0</v>
      </c>
      <c r="K7" s="13" t="n">
        <v>31</v>
      </c>
      <c r="L7" s="7"/>
      <c r="M7" s="18"/>
    </row>
    <row r="8" customFormat="false" ht="23.25" hidden="false" customHeight="false" outlineLevel="0" collapsed="false">
      <c r="A8" s="13" t="n">
        <v>7</v>
      </c>
      <c r="B8" s="13"/>
      <c r="C8" s="13" t="n">
        <v>9908012081</v>
      </c>
      <c r="D8" s="13" t="s">
        <v>20</v>
      </c>
      <c r="E8" s="15" t="n">
        <f aca="false">K8-L8</f>
        <v>13</v>
      </c>
      <c r="F8" s="16" t="s">
        <v>21</v>
      </c>
      <c r="G8" s="17" t="n">
        <v>1</v>
      </c>
      <c r="H8" s="17" t="n">
        <v>322</v>
      </c>
      <c r="I8" s="13"/>
      <c r="J8" s="13" t="n">
        <f aca="false">IF(I8-E8 &lt;0,0,I8-E8)</f>
        <v>0</v>
      </c>
      <c r="K8" s="13" t="n">
        <v>13</v>
      </c>
      <c r="L8" s="7"/>
      <c r="M8" s="18"/>
    </row>
    <row r="9" customFormat="false" ht="23.25" hidden="false" customHeight="false" outlineLevel="0" collapsed="false">
      <c r="A9" s="13" t="n">
        <v>8</v>
      </c>
      <c r="B9" s="13"/>
      <c r="C9" s="13" t="n">
        <v>9945000060</v>
      </c>
      <c r="D9" s="14" t="s">
        <v>22</v>
      </c>
      <c r="E9" s="15" t="n">
        <f aca="false">K9-L9</f>
        <v>21</v>
      </c>
      <c r="F9" s="21"/>
      <c r="G9" s="22"/>
      <c r="H9" s="22"/>
      <c r="I9" s="13" t="n">
        <v>4</v>
      </c>
      <c r="J9" s="13" t="n">
        <f aca="false">IF(I9-E9 &lt;0,0,I9-E9)</f>
        <v>0</v>
      </c>
      <c r="K9" s="13" t="n">
        <v>21</v>
      </c>
      <c r="L9" s="7"/>
      <c r="M9" s="18"/>
    </row>
    <row r="10" customFormat="false" ht="23.25" hidden="false" customHeight="false" outlineLevel="0" collapsed="false">
      <c r="A10" s="13" t="n">
        <v>9</v>
      </c>
      <c r="B10" s="13"/>
      <c r="C10" s="13" t="n">
        <v>9945000100</v>
      </c>
      <c r="D10" s="14" t="s">
        <v>22</v>
      </c>
      <c r="E10" s="15" t="n">
        <f aca="false">K10-L10</f>
        <v>18</v>
      </c>
      <c r="F10" s="21"/>
      <c r="G10" s="22"/>
      <c r="H10" s="22"/>
      <c r="I10" s="13" t="n">
        <v>8</v>
      </c>
      <c r="J10" s="13" t="n">
        <f aca="false">IF(I10-E10 &lt;0,0,I10-E10)</f>
        <v>0</v>
      </c>
      <c r="K10" s="13" t="n">
        <v>20</v>
      </c>
      <c r="L10" s="7" t="n">
        <v>2</v>
      </c>
      <c r="M10" s="18" t="s">
        <v>23</v>
      </c>
    </row>
    <row r="11" customFormat="false" ht="23.25" hidden="false" customHeight="false" outlineLevel="0" collapsed="false">
      <c r="A11" s="13" t="n">
        <v>10</v>
      </c>
      <c r="B11" s="13"/>
      <c r="C11" s="13" t="s">
        <v>24</v>
      </c>
      <c r="D11" s="13" t="s">
        <v>25</v>
      </c>
      <c r="E11" s="15" t="n">
        <f aca="false">K11-L11</f>
        <v>33</v>
      </c>
      <c r="F11" s="16" t="s">
        <v>26</v>
      </c>
      <c r="G11" s="17" t="n">
        <v>1</v>
      </c>
      <c r="H11" s="17" t="n">
        <v>74</v>
      </c>
      <c r="I11" s="13" t="n">
        <v>90</v>
      </c>
      <c r="J11" s="13" t="n">
        <f aca="false">IF(I11-E11 &lt;0,0,I11-E11)</f>
        <v>57</v>
      </c>
      <c r="K11" s="13" t="n">
        <v>100</v>
      </c>
      <c r="L11" s="7" t="n">
        <v>67</v>
      </c>
      <c r="M11" s="18"/>
    </row>
    <row r="12" customFormat="false" ht="23.25" hidden="false" customHeight="false" outlineLevel="0" collapsed="false">
      <c r="A12" s="13" t="n">
        <v>11</v>
      </c>
      <c r="B12" s="13"/>
      <c r="C12" s="13" t="n">
        <v>9794710060</v>
      </c>
      <c r="D12" s="14" t="s">
        <v>12</v>
      </c>
      <c r="E12" s="15" t="n">
        <f aca="false">K12-L12</f>
        <v>10</v>
      </c>
      <c r="F12" s="16" t="s">
        <v>14</v>
      </c>
      <c r="G12" s="17" t="n">
        <v>1</v>
      </c>
      <c r="H12" s="17" t="n">
        <v>120</v>
      </c>
      <c r="I12" s="13" t="n">
        <v>8</v>
      </c>
      <c r="J12" s="13" t="n">
        <f aca="false">IF(I12-E12 &lt;0,0,I12-E12)</f>
        <v>0</v>
      </c>
      <c r="K12" s="13" t="n">
        <v>13</v>
      </c>
      <c r="L12" s="7" t="n">
        <v>3</v>
      </c>
      <c r="M12" s="18"/>
    </row>
    <row r="13" customFormat="false" ht="23.25" hidden="false" customHeight="false" outlineLevel="0" collapsed="false">
      <c r="A13" s="13" t="n">
        <v>12</v>
      </c>
      <c r="B13" s="13"/>
      <c r="C13" s="13" t="n">
        <v>9794710063</v>
      </c>
      <c r="D13" s="14" t="s">
        <v>12</v>
      </c>
      <c r="E13" s="15" t="n">
        <f aca="false">K13-L13</f>
        <v>3</v>
      </c>
      <c r="F13" s="16" t="s">
        <v>13</v>
      </c>
      <c r="G13" s="17" t="n">
        <v>1</v>
      </c>
      <c r="H13" s="17" t="n">
        <v>70</v>
      </c>
      <c r="I13" s="13" t="n">
        <v>12</v>
      </c>
      <c r="J13" s="13" t="n">
        <f aca="false">IF(I13-E13 &lt;0,0,I13-E13)</f>
        <v>9</v>
      </c>
      <c r="K13" s="13" t="n">
        <v>17</v>
      </c>
      <c r="L13" s="7" t="n">
        <v>14</v>
      </c>
      <c r="M13" s="18"/>
    </row>
    <row r="14" customFormat="false" ht="23.25" hidden="false" customHeight="false" outlineLevel="0" collapsed="false">
      <c r="A14" s="13" t="n">
        <v>13</v>
      </c>
      <c r="B14" s="13"/>
      <c r="C14" s="13" t="n">
        <v>9794710071</v>
      </c>
      <c r="D14" s="23" t="s">
        <v>20</v>
      </c>
      <c r="E14" s="15" t="n">
        <f aca="false">K14-L14</f>
        <v>25</v>
      </c>
      <c r="F14" s="16" t="s">
        <v>15</v>
      </c>
      <c r="G14" s="17" t="n">
        <v>1</v>
      </c>
      <c r="H14" s="17" t="n">
        <v>100</v>
      </c>
      <c r="I14" s="13" t="n">
        <v>8</v>
      </c>
      <c r="J14" s="13" t="n">
        <f aca="false">IF(I14-E14 &lt;0,0,I14-E14)</f>
        <v>0</v>
      </c>
      <c r="K14" s="13" t="n">
        <v>29</v>
      </c>
      <c r="L14" s="7" t="n">
        <v>4</v>
      </c>
      <c r="M14" s="18"/>
    </row>
    <row r="15" customFormat="false" ht="23.25" hidden="false" customHeight="false" outlineLevel="0" collapsed="false">
      <c r="A15" s="13" t="n">
        <v>14</v>
      </c>
      <c r="B15" s="13"/>
      <c r="C15" s="13" t="n">
        <v>9794710080</v>
      </c>
      <c r="D15" s="14" t="s">
        <v>12</v>
      </c>
      <c r="E15" s="15" t="n">
        <f aca="false">K15-L15</f>
        <v>19</v>
      </c>
      <c r="F15" s="21"/>
      <c r="G15" s="22"/>
      <c r="H15" s="22"/>
      <c r="I15" s="13" t="n">
        <v>16</v>
      </c>
      <c r="J15" s="13" t="n">
        <f aca="false">IF(I15-E15 &lt;0,0,I15-E15)</f>
        <v>0</v>
      </c>
      <c r="K15" s="13" t="n">
        <v>20</v>
      </c>
      <c r="L15" s="7" t="n">
        <v>1</v>
      </c>
      <c r="M15" s="18"/>
    </row>
    <row r="16" customFormat="false" ht="23.25" hidden="false" customHeight="false" outlineLevel="0" collapsed="false">
      <c r="A16" s="13" t="n">
        <v>15</v>
      </c>
      <c r="B16" s="13"/>
      <c r="C16" s="13" t="n">
        <v>9794710100</v>
      </c>
      <c r="D16" s="14" t="s">
        <v>12</v>
      </c>
      <c r="E16" s="15" t="n">
        <v>1</v>
      </c>
      <c r="F16" s="16" t="s">
        <v>15</v>
      </c>
      <c r="G16" s="17" t="n">
        <v>1</v>
      </c>
      <c r="H16" s="17" t="n">
        <v>50</v>
      </c>
      <c r="I16" s="13" t="n">
        <v>16</v>
      </c>
      <c r="J16" s="13" t="n">
        <f aca="false">IF(I16-E16 &lt;0,0,I16-E16)</f>
        <v>15</v>
      </c>
      <c r="K16" s="13" t="n">
        <v>20</v>
      </c>
      <c r="L16" s="7" t="n">
        <v>16</v>
      </c>
      <c r="M16" s="18"/>
    </row>
    <row r="17" customFormat="false" ht="23.25" hidden="false" customHeight="false" outlineLevel="0" collapsed="false">
      <c r="A17" s="13" t="n">
        <v>16</v>
      </c>
      <c r="B17" s="13"/>
      <c r="C17" s="13" t="n">
        <v>9794710118</v>
      </c>
      <c r="D17" s="14" t="s">
        <v>12</v>
      </c>
      <c r="E17" s="15" t="n">
        <f aca="false">K17-L17</f>
        <v>6</v>
      </c>
      <c r="F17" s="21"/>
      <c r="G17" s="22"/>
      <c r="H17" s="22"/>
      <c r="I17" s="13" t="n">
        <v>6</v>
      </c>
      <c r="J17" s="13" t="n">
        <f aca="false">IF(I17-E17 &lt;0,0,I17-E17)</f>
        <v>0</v>
      </c>
      <c r="K17" s="13" t="n">
        <v>12</v>
      </c>
      <c r="L17" s="7" t="n">
        <v>6</v>
      </c>
      <c r="M17" s="18"/>
    </row>
    <row r="18" customFormat="false" ht="23.25" hidden="false" customHeight="false" outlineLevel="0" collapsed="false">
      <c r="A18" s="13" t="n">
        <v>17</v>
      </c>
      <c r="B18" s="13"/>
      <c r="C18" s="13" t="n">
        <v>9794710125</v>
      </c>
      <c r="D18" s="14" t="s">
        <v>12</v>
      </c>
      <c r="E18" s="15" t="n">
        <f aca="false">K18-L18</f>
        <v>13</v>
      </c>
      <c r="F18" s="21"/>
      <c r="G18" s="22"/>
      <c r="H18" s="22"/>
      <c r="I18" s="13" t="n">
        <v>4</v>
      </c>
      <c r="J18" s="13" t="n">
        <f aca="false">IF(I18-E18 &lt;0,0,I18-E18)</f>
        <v>0</v>
      </c>
      <c r="K18" s="13" t="n">
        <v>15</v>
      </c>
      <c r="L18" s="7" t="n">
        <v>2</v>
      </c>
      <c r="M18" s="18" t="s">
        <v>27</v>
      </c>
    </row>
    <row r="19" customFormat="false" ht="23.25" hidden="false" customHeight="false" outlineLevel="0" collapsed="false">
      <c r="A19" s="13" t="n">
        <v>18</v>
      </c>
      <c r="B19" s="13"/>
      <c r="C19" s="13" t="n">
        <v>9794710132</v>
      </c>
      <c r="D19" s="24" t="s">
        <v>12</v>
      </c>
      <c r="E19" s="15" t="n">
        <f aca="false">K19-L19</f>
        <v>51</v>
      </c>
      <c r="F19" s="21"/>
      <c r="G19" s="22"/>
      <c r="H19" s="22"/>
      <c r="I19" s="13" t="n">
        <v>10</v>
      </c>
      <c r="J19" s="13" t="n">
        <f aca="false">IF(I19-E19 &lt;0,0,I19-E19)</f>
        <v>0</v>
      </c>
      <c r="K19" s="13" t="n">
        <v>51</v>
      </c>
      <c r="L19" s="7"/>
      <c r="M19" s="18"/>
    </row>
    <row r="20" customFormat="false" ht="23.25" hidden="false" customHeight="false" outlineLevel="0" collapsed="false">
      <c r="A20" s="9" t="n">
        <v>19</v>
      </c>
      <c r="B20" s="9"/>
      <c r="C20" s="9" t="n">
        <v>9794710140</v>
      </c>
      <c r="D20" s="25" t="s">
        <v>12</v>
      </c>
      <c r="E20" s="5" t="n">
        <f aca="false">K20-L20</f>
        <v>6</v>
      </c>
      <c r="F20" s="26"/>
      <c r="G20" s="27"/>
      <c r="H20" s="27"/>
      <c r="I20" s="9" t="n">
        <v>4</v>
      </c>
      <c r="J20" s="13" t="n">
        <f aca="false">IF(I20-E20 &lt;0,0,I20-E20)</f>
        <v>0</v>
      </c>
      <c r="K20" s="9" t="n">
        <v>7</v>
      </c>
      <c r="L20" s="7" t="n">
        <v>1</v>
      </c>
      <c r="M20" s="18" t="s">
        <v>27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customFormat="false" ht="23.25" hidden="false" customHeight="false" outlineLevel="0" collapsed="false">
      <c r="A21" s="13" t="n">
        <v>20</v>
      </c>
      <c r="B21" s="13"/>
      <c r="C21" s="13" t="n">
        <v>9794710150</v>
      </c>
      <c r="D21" s="14" t="s">
        <v>12</v>
      </c>
      <c r="E21" s="15" t="n">
        <f aca="false">K21-L21</f>
        <v>8</v>
      </c>
      <c r="F21" s="21"/>
      <c r="G21" s="22"/>
      <c r="H21" s="22"/>
      <c r="I21" s="13" t="n">
        <v>8</v>
      </c>
      <c r="J21" s="13" t="n">
        <f aca="false">IF(I21-E21 &lt;0,0,I21-E21)</f>
        <v>0</v>
      </c>
      <c r="K21" s="13" t="n">
        <v>17</v>
      </c>
      <c r="L21" s="7" t="n">
        <v>9</v>
      </c>
      <c r="M21" s="18"/>
    </row>
    <row r="22" customFormat="false" ht="23.25" hidden="false" customHeight="false" outlineLevel="0" collapsed="false">
      <c r="A22" s="13" t="n">
        <v>21</v>
      </c>
      <c r="B22" s="13"/>
      <c r="C22" s="13" t="n">
        <v>9794410190</v>
      </c>
      <c r="D22" s="14" t="s">
        <v>12</v>
      </c>
      <c r="E22" s="15" t="n">
        <f aca="false">K22-L22</f>
        <v>20</v>
      </c>
      <c r="F22" s="21"/>
      <c r="G22" s="22"/>
      <c r="H22" s="22"/>
      <c r="I22" s="13" t="n">
        <v>20</v>
      </c>
      <c r="J22" s="13" t="n">
        <f aca="false">IF(I22-E22 &lt;0,0,I22-E22)</f>
        <v>0</v>
      </c>
      <c r="K22" s="13" t="n">
        <v>27</v>
      </c>
      <c r="L22" s="7" t="n">
        <v>7</v>
      </c>
      <c r="M22" s="18"/>
    </row>
    <row r="23" customFormat="false" ht="23.25" hidden="false" customHeight="false" outlineLevel="0" collapsed="false">
      <c r="A23" s="13" t="n">
        <v>22</v>
      </c>
      <c r="B23" s="13"/>
      <c r="C23" s="13" t="n">
        <v>9794410212</v>
      </c>
      <c r="D23" s="14" t="s">
        <v>12</v>
      </c>
      <c r="E23" s="15" t="n">
        <f aca="false">K23-L23</f>
        <v>25</v>
      </c>
      <c r="F23" s="21"/>
      <c r="G23" s="22"/>
      <c r="H23" s="22"/>
      <c r="I23" s="13" t="n">
        <v>20</v>
      </c>
      <c r="J23" s="13" t="n">
        <f aca="false">IF(I23-E23 &lt;0,0,I23-E23)</f>
        <v>0</v>
      </c>
      <c r="K23" s="13" t="n">
        <v>33</v>
      </c>
      <c r="L23" s="7" t="n">
        <v>8</v>
      </c>
      <c r="M23" s="18" t="s">
        <v>28</v>
      </c>
    </row>
    <row r="24" customFormat="false" ht="23.25" hidden="false" customHeight="false" outlineLevel="0" collapsed="false">
      <c r="A24" s="13" t="n">
        <v>23</v>
      </c>
      <c r="B24" s="13"/>
      <c r="C24" s="13" t="n">
        <v>9794410236</v>
      </c>
      <c r="D24" s="14" t="s">
        <v>12</v>
      </c>
      <c r="E24" s="15" t="n">
        <f aca="false">K24-L24</f>
        <v>17</v>
      </c>
      <c r="F24" s="21"/>
      <c r="G24" s="22"/>
      <c r="H24" s="22"/>
      <c r="I24" s="13" t="n">
        <v>8</v>
      </c>
      <c r="J24" s="13" t="n">
        <f aca="false">IF(I24-E24 &lt;0,0,I24-E24)</f>
        <v>0</v>
      </c>
      <c r="K24" s="13" t="n">
        <v>24</v>
      </c>
      <c r="L24" s="7" t="n">
        <v>7</v>
      </c>
      <c r="M24" s="18"/>
    </row>
    <row r="25" customFormat="false" ht="23.25" hidden="false" customHeight="false" outlineLevel="0" collapsed="false">
      <c r="A25" s="13" t="n">
        <v>24</v>
      </c>
      <c r="B25" s="13"/>
      <c r="C25" s="13" t="n">
        <v>9794410325</v>
      </c>
      <c r="D25" s="14" t="s">
        <v>12</v>
      </c>
      <c r="E25" s="15" t="n">
        <f aca="false">K25-L25</f>
        <v>12</v>
      </c>
      <c r="F25" s="21"/>
      <c r="G25" s="22"/>
      <c r="H25" s="22"/>
      <c r="I25" s="13"/>
      <c r="J25" s="13" t="n">
        <f aca="false">IF(I25-E25 &lt;0,0,I25-E25)</f>
        <v>0</v>
      </c>
      <c r="K25" s="13" t="n">
        <v>18</v>
      </c>
      <c r="L25" s="7" t="n">
        <v>6</v>
      </c>
      <c r="M25" s="18"/>
    </row>
    <row r="26" customFormat="false" ht="23.25" hidden="false" customHeight="false" outlineLevel="0" collapsed="false">
      <c r="A26" s="13" t="n">
        <v>25</v>
      </c>
      <c r="B26" s="13"/>
      <c r="C26" s="13" t="n">
        <v>9794410345</v>
      </c>
      <c r="D26" s="24" t="s">
        <v>12</v>
      </c>
      <c r="E26" s="15" t="n">
        <f aca="false">K26-L26</f>
        <v>11</v>
      </c>
      <c r="F26" s="21"/>
      <c r="G26" s="22"/>
      <c r="H26" s="22"/>
      <c r="I26" s="13" t="n">
        <v>4</v>
      </c>
      <c r="J26" s="13" t="n">
        <f aca="false">IF(I26-E26 &lt;0,0,I26-E26)</f>
        <v>0</v>
      </c>
      <c r="K26" s="13" t="n">
        <v>11</v>
      </c>
      <c r="L26" s="7"/>
      <c r="M26" s="18"/>
    </row>
    <row r="27" customFormat="false" ht="23.25" hidden="false" customHeight="false" outlineLevel="0" collapsed="false">
      <c r="A27" s="13" t="n">
        <v>26</v>
      </c>
      <c r="B27" s="13"/>
      <c r="C27" s="13" t="n">
        <v>9794430375</v>
      </c>
      <c r="D27" s="29" t="s">
        <v>12</v>
      </c>
      <c r="E27" s="15" t="n">
        <f aca="false">K27-L27</f>
        <v>8</v>
      </c>
      <c r="F27" s="21"/>
      <c r="G27" s="22"/>
      <c r="H27" s="22"/>
      <c r="I27" s="13" t="n">
        <v>4</v>
      </c>
      <c r="J27" s="13" t="n">
        <f aca="false">IF(I27-E27 &lt;0,0,I27-E27)</f>
        <v>0</v>
      </c>
      <c r="K27" s="13" t="n">
        <v>8</v>
      </c>
      <c r="L27" s="7"/>
      <c r="M27" s="18"/>
    </row>
    <row r="28" customFormat="false" ht="23.25" hidden="false" customHeight="false" outlineLevel="0" collapsed="false">
      <c r="A28" s="13" t="n">
        <v>27</v>
      </c>
      <c r="B28" s="13"/>
      <c r="C28" s="13" t="n">
        <v>9794410500</v>
      </c>
      <c r="D28" s="14" t="s">
        <v>12</v>
      </c>
      <c r="E28" s="15" t="n">
        <f aca="false">K28-L28</f>
        <v>7</v>
      </c>
      <c r="F28" s="21"/>
      <c r="G28" s="22"/>
      <c r="H28" s="22"/>
      <c r="I28" s="13" t="n">
        <v>4</v>
      </c>
      <c r="J28" s="13" t="n">
        <f aca="false">IF(I28-E28 &lt;0,0,I28-E28)</f>
        <v>0</v>
      </c>
      <c r="K28" s="13" t="n">
        <v>10</v>
      </c>
      <c r="L28" s="7" t="n">
        <v>3</v>
      </c>
      <c r="M28" s="18"/>
    </row>
    <row r="29" customFormat="false" ht="23.25" hidden="false" customHeight="false" outlineLevel="0" collapsed="false">
      <c r="A29" s="13" t="n">
        <v>28</v>
      </c>
      <c r="B29" s="13"/>
      <c r="C29" s="13" t="n">
        <v>9794420080</v>
      </c>
      <c r="D29" s="24" t="s">
        <v>12</v>
      </c>
      <c r="E29" s="15" t="n">
        <f aca="false">K29-L29</f>
        <v>19</v>
      </c>
      <c r="F29" s="21"/>
      <c r="G29" s="22"/>
      <c r="H29" s="22"/>
      <c r="I29" s="13" t="n">
        <v>4</v>
      </c>
      <c r="J29" s="13" t="n">
        <f aca="false">IF(I29-E29 &lt;0,0,I29-E29)</f>
        <v>0</v>
      </c>
      <c r="K29" s="13" t="n">
        <v>20</v>
      </c>
      <c r="L29" s="7" t="n">
        <v>1</v>
      </c>
      <c r="M29" s="18"/>
    </row>
    <row r="30" customFormat="false" ht="23.25" hidden="false" customHeight="false" outlineLevel="0" collapsed="false">
      <c r="A30" s="13" t="n">
        <v>29</v>
      </c>
      <c r="B30" s="13"/>
      <c r="C30" s="13" t="n">
        <v>9794420150</v>
      </c>
      <c r="D30" s="14" t="s">
        <v>12</v>
      </c>
      <c r="E30" s="15" t="n">
        <f aca="false">K30-L30</f>
        <v>105</v>
      </c>
      <c r="F30" s="21"/>
      <c r="G30" s="22"/>
      <c r="H30" s="22"/>
      <c r="I30" s="13" t="n">
        <v>8</v>
      </c>
      <c r="J30" s="13" t="n">
        <f aca="false">IF(I30-E30 &lt;0,0,I30-E30)</f>
        <v>0</v>
      </c>
      <c r="K30" s="13" t="n">
        <v>115</v>
      </c>
      <c r="L30" s="7" t="n">
        <v>10</v>
      </c>
      <c r="M30" s="18" t="s">
        <v>29</v>
      </c>
    </row>
    <row r="31" customFormat="false" ht="23.25" hidden="false" customHeight="false" outlineLevel="0" collapsed="false">
      <c r="A31" s="13" t="n">
        <v>30</v>
      </c>
      <c r="B31" s="13"/>
      <c r="C31" s="13" t="n">
        <v>9794420170</v>
      </c>
      <c r="D31" s="14" t="s">
        <v>12</v>
      </c>
      <c r="E31" s="15" t="n">
        <f aca="false">K31-L31</f>
        <v>15</v>
      </c>
      <c r="F31" s="21"/>
      <c r="G31" s="22"/>
      <c r="H31" s="22"/>
      <c r="I31" s="13" t="n">
        <v>4</v>
      </c>
      <c r="J31" s="13" t="n">
        <f aca="false">IF(I31-E31 &lt;0,0,I31-E31)</f>
        <v>0</v>
      </c>
      <c r="K31" s="13" t="n">
        <v>15</v>
      </c>
      <c r="L31" s="7"/>
      <c r="M31" s="18"/>
    </row>
    <row r="32" customFormat="false" ht="23.25" hidden="false" customHeight="false" outlineLevel="0" collapsed="false">
      <c r="A32" s="13" t="n">
        <v>31</v>
      </c>
      <c r="B32" s="13"/>
      <c r="C32" s="13" t="n">
        <v>9794410063</v>
      </c>
      <c r="D32" s="14" t="s">
        <v>12</v>
      </c>
      <c r="E32" s="15" t="n">
        <f aca="false">K32-L32</f>
        <v>19</v>
      </c>
      <c r="F32" s="21"/>
      <c r="G32" s="22"/>
      <c r="H32" s="22"/>
      <c r="I32" s="13" t="n">
        <v>8</v>
      </c>
      <c r="J32" s="13" t="n">
        <f aca="false">IF(I32-E32 &lt;0,0,I32-E32)</f>
        <v>0</v>
      </c>
      <c r="K32" s="13" t="n">
        <v>43</v>
      </c>
      <c r="L32" s="7" t="n">
        <v>24</v>
      </c>
      <c r="M32" s="18"/>
    </row>
    <row r="33" customFormat="false" ht="23.25" hidden="false" customHeight="false" outlineLevel="0" collapsed="false">
      <c r="A33" s="13" t="n">
        <v>32</v>
      </c>
      <c r="B33" s="13"/>
      <c r="C33" s="13" t="s">
        <v>30</v>
      </c>
      <c r="D33" s="14" t="s">
        <v>12</v>
      </c>
      <c r="E33" s="15" t="n">
        <f aca="false">K33-L33</f>
        <v>19</v>
      </c>
      <c r="F33" s="16" t="s">
        <v>31</v>
      </c>
      <c r="G33" s="17" t="n">
        <v>1</v>
      </c>
      <c r="H33" s="17" t="n">
        <v>880</v>
      </c>
      <c r="I33" s="13" t="n">
        <v>12</v>
      </c>
      <c r="J33" s="13" t="n">
        <f aca="false">IF(I33-E33 &lt;0,0,I33-E33)</f>
        <v>0</v>
      </c>
      <c r="K33" s="13" t="n">
        <v>35</v>
      </c>
      <c r="L33" s="7" t="n">
        <v>16</v>
      </c>
      <c r="M33" s="18"/>
    </row>
    <row r="34" customFormat="false" ht="23.25" hidden="false" customHeight="false" outlineLevel="0" collapsed="false">
      <c r="A34" s="13" t="n">
        <v>33</v>
      </c>
      <c r="B34" s="13"/>
      <c r="C34" s="13" t="n">
        <v>9794410090</v>
      </c>
      <c r="D34" s="14" t="s">
        <v>12</v>
      </c>
      <c r="E34" s="15" t="n">
        <f aca="false">K34-L34</f>
        <v>11</v>
      </c>
      <c r="F34" s="21"/>
      <c r="G34" s="22"/>
      <c r="H34" s="22"/>
      <c r="I34" s="13" t="n">
        <v>8</v>
      </c>
      <c r="J34" s="13" t="n">
        <f aca="false">IF(I34-E34 &lt;0,0,I34-E34)</f>
        <v>0</v>
      </c>
      <c r="K34" s="13" t="n">
        <v>18</v>
      </c>
      <c r="L34" s="7" t="n">
        <v>7</v>
      </c>
      <c r="M34" s="18" t="n">
        <v>1</v>
      </c>
    </row>
    <row r="35" customFormat="false" ht="23.25" hidden="false" customHeight="false" outlineLevel="0" collapsed="false">
      <c r="A35" s="13" t="n">
        <v>34</v>
      </c>
      <c r="B35" s="13"/>
      <c r="C35" s="13" t="n">
        <v>9794410095</v>
      </c>
      <c r="D35" s="14" t="s">
        <v>12</v>
      </c>
      <c r="E35" s="15" t="n">
        <f aca="false">K35-L35</f>
        <v>46</v>
      </c>
      <c r="F35" s="21"/>
      <c r="G35" s="22"/>
      <c r="H35" s="22"/>
      <c r="I35" s="13" t="n">
        <v>12</v>
      </c>
      <c r="J35" s="13" t="n">
        <f aca="false">IF(I35-E35 &lt;0,0,I35-E35)</f>
        <v>0</v>
      </c>
      <c r="K35" s="13" t="n">
        <v>55</v>
      </c>
      <c r="L35" s="7" t="n">
        <v>9</v>
      </c>
      <c r="M35" s="18"/>
    </row>
    <row r="36" customFormat="false" ht="23.25" hidden="false" customHeight="false" outlineLevel="0" collapsed="false">
      <c r="A36" s="13" t="n">
        <v>35</v>
      </c>
      <c r="B36" s="13"/>
      <c r="C36" s="13" t="n">
        <v>9794410100</v>
      </c>
      <c r="D36" s="14" t="s">
        <v>12</v>
      </c>
      <c r="E36" s="15" t="n">
        <f aca="false">K36-L36</f>
        <v>2</v>
      </c>
      <c r="F36" s="21"/>
      <c r="G36" s="22"/>
      <c r="H36" s="22"/>
      <c r="I36" s="13" t="n">
        <v>4</v>
      </c>
      <c r="J36" s="13" t="n">
        <f aca="false">IF(I36-E36 &lt;0,0,I36-E36)</f>
        <v>2</v>
      </c>
      <c r="K36" s="13" t="n">
        <v>10</v>
      </c>
      <c r="L36" s="7" t="n">
        <v>8</v>
      </c>
      <c r="M36" s="18"/>
    </row>
    <row r="37" customFormat="false" ht="23.25" hidden="false" customHeight="false" outlineLevel="0" collapsed="false">
      <c r="A37" s="13" t="n">
        <v>36</v>
      </c>
      <c r="B37" s="13"/>
      <c r="C37" s="13" t="s">
        <v>32</v>
      </c>
      <c r="D37" s="14" t="s">
        <v>12</v>
      </c>
      <c r="E37" s="15" t="n">
        <f aca="false">K37-L37</f>
        <v>4</v>
      </c>
      <c r="F37" s="16" t="s">
        <v>33</v>
      </c>
      <c r="G37" s="17" t="n">
        <v>1</v>
      </c>
      <c r="H37" s="17" t="n">
        <v>240</v>
      </c>
      <c r="I37" s="13" t="n">
        <v>10</v>
      </c>
      <c r="J37" s="13" t="n">
        <f aca="false">IF(I37-E37 &lt;0,0,I37-E37)</f>
        <v>6</v>
      </c>
      <c r="K37" s="13" t="n">
        <v>23</v>
      </c>
      <c r="L37" s="7" t="n">
        <v>19</v>
      </c>
      <c r="M37" s="18"/>
    </row>
    <row r="38" customFormat="false" ht="23.25" hidden="false" customHeight="false" outlineLevel="0" collapsed="false">
      <c r="A38" s="13" t="n">
        <v>37</v>
      </c>
      <c r="B38" s="13"/>
      <c r="C38" s="13" t="n">
        <v>9794410132</v>
      </c>
      <c r="D38" s="14" t="s">
        <v>12</v>
      </c>
      <c r="E38" s="15" t="n">
        <f aca="false">K38-L38</f>
        <v>16</v>
      </c>
      <c r="F38" s="21"/>
      <c r="G38" s="22"/>
      <c r="H38" s="22"/>
      <c r="I38" s="13" t="n">
        <v>8</v>
      </c>
      <c r="J38" s="13" t="n">
        <f aca="false">IF(I38-E38 &lt;0,0,I38-E38)</f>
        <v>0</v>
      </c>
      <c r="K38" s="13" t="n">
        <v>17</v>
      </c>
      <c r="L38" s="7" t="n">
        <v>1</v>
      </c>
      <c r="M38" s="18"/>
    </row>
    <row r="39" customFormat="false" ht="23.25" hidden="false" customHeight="false" outlineLevel="0" collapsed="false">
      <c r="A39" s="13" t="n">
        <v>38</v>
      </c>
      <c r="B39" s="13"/>
      <c r="C39" s="13" t="n">
        <v>9794410140</v>
      </c>
      <c r="D39" s="14" t="s">
        <v>12</v>
      </c>
      <c r="E39" s="15" t="n">
        <f aca="false">K39-L39</f>
        <v>27</v>
      </c>
      <c r="F39" s="21"/>
      <c r="G39" s="22"/>
      <c r="H39" s="22"/>
      <c r="I39" s="13" t="n">
        <v>4</v>
      </c>
      <c r="J39" s="13" t="n">
        <f aca="false">IF(I39-E39 &lt;0,0,I39-E39)</f>
        <v>0</v>
      </c>
      <c r="K39" s="13" t="n">
        <v>31</v>
      </c>
      <c r="L39" s="7" t="n">
        <v>4</v>
      </c>
      <c r="M39" s="18" t="s">
        <v>34</v>
      </c>
    </row>
    <row r="40" customFormat="false" ht="23.25" hidden="false" customHeight="false" outlineLevel="0" collapsed="false">
      <c r="A40" s="13" t="n">
        <v>39</v>
      </c>
      <c r="B40" s="13"/>
      <c r="C40" s="13" t="n">
        <v>9794410180</v>
      </c>
      <c r="D40" s="13"/>
      <c r="E40" s="15" t="n">
        <f aca="false">K40-L40</f>
        <v>10</v>
      </c>
      <c r="F40" s="21"/>
      <c r="G40" s="22"/>
      <c r="H40" s="22"/>
      <c r="I40" s="13"/>
      <c r="J40" s="13" t="n">
        <f aca="false">IF(I40-E40 &lt;0,0,I40-E40)</f>
        <v>0</v>
      </c>
      <c r="K40" s="13" t="n">
        <v>10</v>
      </c>
      <c r="L40" s="7"/>
      <c r="M40" s="18"/>
    </row>
    <row r="41" customFormat="false" ht="23.25" hidden="false" customHeight="false" outlineLevel="0" collapsed="false">
      <c r="A41" s="13" t="n">
        <v>40</v>
      </c>
      <c r="B41" s="13"/>
      <c r="C41" s="13" t="n">
        <v>9752100120</v>
      </c>
      <c r="D41" s="14" t="s">
        <v>35</v>
      </c>
      <c r="E41" s="15" t="n">
        <f aca="false">K41-L41</f>
        <v>10</v>
      </c>
      <c r="F41" s="21"/>
      <c r="G41" s="22"/>
      <c r="H41" s="22"/>
      <c r="I41" s="13" t="n">
        <v>4</v>
      </c>
      <c r="J41" s="13" t="n">
        <f aca="false">IF(I41-E41 &lt;0,0,I41-E41)</f>
        <v>0</v>
      </c>
      <c r="K41" s="13" t="n">
        <v>11</v>
      </c>
      <c r="L41" s="7" t="n">
        <v>1</v>
      </c>
      <c r="M41" s="18"/>
    </row>
    <row r="42" customFormat="false" ht="23.25" hidden="false" customHeight="false" outlineLevel="0" collapsed="false">
      <c r="A42" s="13" t="n">
        <v>41</v>
      </c>
      <c r="B42" s="13"/>
      <c r="C42" s="13" t="n">
        <v>9752100160</v>
      </c>
      <c r="D42" s="14" t="s">
        <v>35</v>
      </c>
      <c r="E42" s="15" t="n">
        <f aca="false">K42-L42</f>
        <v>6</v>
      </c>
      <c r="F42" s="16" t="s">
        <v>31</v>
      </c>
      <c r="G42" s="17" t="n">
        <v>1</v>
      </c>
      <c r="H42" s="17" t="n">
        <v>470</v>
      </c>
      <c r="I42" s="13" t="n">
        <v>8</v>
      </c>
      <c r="J42" s="13" t="n">
        <f aca="false">IF(I42-E42 &lt;0,0,I42-E42)</f>
        <v>2</v>
      </c>
      <c r="K42" s="13" t="n">
        <v>8</v>
      </c>
      <c r="L42" s="7" t="n">
        <v>2</v>
      </c>
      <c r="M42" s="18"/>
    </row>
    <row r="43" customFormat="false" ht="23.25" hidden="false" customHeight="false" outlineLevel="0" collapsed="false">
      <c r="A43" s="13" t="n">
        <v>42</v>
      </c>
      <c r="B43" s="13"/>
      <c r="C43" s="13" t="n">
        <v>9752012044</v>
      </c>
      <c r="D43" s="24" t="s">
        <v>35</v>
      </c>
      <c r="E43" s="15" t="n">
        <f aca="false">K43-L43</f>
        <v>5</v>
      </c>
      <c r="F43" s="21"/>
      <c r="G43" s="22"/>
      <c r="H43" s="22"/>
      <c r="I43" s="13" t="n">
        <v>16</v>
      </c>
      <c r="J43" s="13" t="n">
        <f aca="false">IF(I43-E43 &lt;0,0,I43-E43)</f>
        <v>11</v>
      </c>
      <c r="K43" s="13" t="n">
        <v>12</v>
      </c>
      <c r="L43" s="7" t="n">
        <v>7</v>
      </c>
      <c r="M43" s="18" t="s">
        <v>36</v>
      </c>
    </row>
    <row r="44" customFormat="false" ht="23.25" hidden="false" customHeight="false" outlineLevel="0" collapsed="false">
      <c r="A44" s="13" t="n">
        <v>43</v>
      </c>
      <c r="B44" s="13"/>
      <c r="C44" s="13" t="n">
        <v>9752018044</v>
      </c>
      <c r="D44" s="24" t="s">
        <v>35</v>
      </c>
      <c r="E44" s="15" t="n">
        <f aca="false">K44-L44</f>
        <v>18</v>
      </c>
      <c r="F44" s="21"/>
      <c r="G44" s="22"/>
      <c r="H44" s="22"/>
      <c r="I44" s="13" t="n">
        <v>8</v>
      </c>
      <c r="J44" s="13" t="n">
        <f aca="false">IF(I44-E44 &lt;0,0,I44-E44)</f>
        <v>0</v>
      </c>
      <c r="K44" s="13" t="n">
        <v>18</v>
      </c>
      <c r="L44" s="7"/>
      <c r="M44" s="18"/>
    </row>
    <row r="45" customFormat="false" ht="23.25" hidden="false" customHeight="false" outlineLevel="0" collapsed="false">
      <c r="A45" s="13" t="n">
        <v>44</v>
      </c>
      <c r="B45" s="13"/>
      <c r="C45" s="13" t="n">
        <v>9794099203</v>
      </c>
      <c r="D45" s="14" t="s">
        <v>12</v>
      </c>
      <c r="E45" s="15" t="n">
        <f aca="false">K45-L45</f>
        <v>26</v>
      </c>
      <c r="F45" s="21"/>
      <c r="G45" s="22"/>
      <c r="H45" s="22"/>
      <c r="I45" s="13" t="n">
        <v>4</v>
      </c>
      <c r="J45" s="13" t="n">
        <f aca="false">IF(I45-E45 &lt;0,0,I45-E45)</f>
        <v>0</v>
      </c>
      <c r="K45" s="13" t="n">
        <v>30</v>
      </c>
      <c r="L45" s="7" t="n">
        <v>4</v>
      </c>
      <c r="M45" s="18"/>
    </row>
    <row r="46" customFormat="false" ht="23.25" hidden="false" customHeight="false" outlineLevel="0" collapsed="false">
      <c r="A46" s="13" t="n">
        <v>45</v>
      </c>
      <c r="B46" s="13"/>
      <c r="C46" s="13" t="n">
        <v>9794132203</v>
      </c>
      <c r="D46" s="14" t="s">
        <v>12</v>
      </c>
      <c r="E46" s="15" t="n">
        <f aca="false">K46-L46</f>
        <v>24</v>
      </c>
      <c r="F46" s="21"/>
      <c r="G46" s="22"/>
      <c r="H46" s="22"/>
      <c r="I46" s="13" t="n">
        <v>8</v>
      </c>
      <c r="J46" s="13" t="n">
        <f aca="false">IF(I46-E46 &lt;0,0,I46-E46)</f>
        <v>0</v>
      </c>
      <c r="K46" s="13" t="n">
        <v>24</v>
      </c>
      <c r="L46" s="7"/>
      <c r="M46" s="18"/>
    </row>
    <row r="47" customFormat="false" ht="23.25" hidden="false" customHeight="false" outlineLevel="0" collapsed="false">
      <c r="A47" s="13" t="n">
        <v>46</v>
      </c>
      <c r="B47" s="13"/>
      <c r="C47" s="13" t="n">
        <v>9794132253</v>
      </c>
      <c r="D47" s="24" t="s">
        <v>12</v>
      </c>
      <c r="E47" s="15" t="n">
        <f aca="false">K47-L47</f>
        <v>38</v>
      </c>
      <c r="F47" s="21"/>
      <c r="G47" s="22"/>
      <c r="H47" s="22"/>
      <c r="I47" s="13" t="n">
        <v>16</v>
      </c>
      <c r="J47" s="13" t="n">
        <f aca="false">IF(I47-E47 &lt;0,0,I47-E47)</f>
        <v>0</v>
      </c>
      <c r="K47" s="13" t="n">
        <v>38</v>
      </c>
      <c r="L47" s="7"/>
      <c r="M47" s="18"/>
    </row>
    <row r="48" customFormat="false" ht="23.25" hidden="false" customHeight="false" outlineLevel="0" collapsed="false">
      <c r="A48" s="13" t="n">
        <v>47</v>
      </c>
      <c r="B48" s="13"/>
      <c r="C48" s="13" t="n">
        <v>9794150253</v>
      </c>
      <c r="D48" s="14" t="s">
        <v>12</v>
      </c>
      <c r="E48" s="15" t="n">
        <f aca="false">K48-L48</f>
        <v>7</v>
      </c>
      <c r="F48" s="16" t="s">
        <v>37</v>
      </c>
      <c r="G48" s="17" t="n">
        <v>1</v>
      </c>
      <c r="H48" s="17" t="n">
        <v>60</v>
      </c>
      <c r="I48" s="13" t="n">
        <v>6</v>
      </c>
      <c r="J48" s="13" t="n">
        <f aca="false">IF(I48-E48 &lt;0,0,I48-E48)</f>
        <v>0</v>
      </c>
      <c r="K48" s="13" t="n">
        <v>11</v>
      </c>
      <c r="L48" s="7" t="n">
        <v>4</v>
      </c>
      <c r="M48" s="18"/>
    </row>
    <row r="49" customFormat="false" ht="23.25" hidden="false" customHeight="false" outlineLevel="0" collapsed="false">
      <c r="A49" s="13" t="n">
        <v>48</v>
      </c>
      <c r="B49" s="13"/>
      <c r="C49" s="13" t="n">
        <v>9794410056</v>
      </c>
      <c r="D49" s="14" t="s">
        <v>12</v>
      </c>
      <c r="E49" s="15" t="n">
        <v>52</v>
      </c>
      <c r="F49" s="21"/>
      <c r="G49" s="22"/>
      <c r="H49" s="22"/>
      <c r="I49" s="13" t="n">
        <v>50</v>
      </c>
      <c r="J49" s="13" t="n">
        <f aca="false">IF(I49-E49 &lt;0,0,I49-E49)</f>
        <v>0</v>
      </c>
      <c r="K49" s="13" t="n">
        <v>105</v>
      </c>
      <c r="L49" s="7" t="n">
        <v>28</v>
      </c>
      <c r="M49" s="18"/>
    </row>
    <row r="50" customFormat="false" ht="23.25" hidden="false" customHeight="false" outlineLevel="0" collapsed="false">
      <c r="A50" s="13" t="n">
        <v>49</v>
      </c>
      <c r="B50" s="13"/>
      <c r="C50" s="13" t="n">
        <v>9794410170</v>
      </c>
      <c r="D50" s="14" t="s">
        <v>12</v>
      </c>
      <c r="E50" s="15" t="n">
        <f aca="false">K50-L50</f>
        <v>27</v>
      </c>
      <c r="F50" s="21"/>
      <c r="G50" s="22"/>
      <c r="H50" s="22"/>
      <c r="I50" s="13" t="n">
        <v>20</v>
      </c>
      <c r="J50" s="13" t="n">
        <f aca="false">IF(I50-E50 &lt;0,0,I50-E50)</f>
        <v>0</v>
      </c>
      <c r="K50" s="13" t="n">
        <v>33</v>
      </c>
      <c r="L50" s="7" t="n">
        <v>6</v>
      </c>
      <c r="M50" s="18"/>
    </row>
    <row r="51" customFormat="false" ht="23.25" hidden="false" customHeight="false" outlineLevel="0" collapsed="false">
      <c r="A51" s="13" t="n">
        <v>50</v>
      </c>
      <c r="B51" s="13"/>
      <c r="C51" s="13" t="n">
        <v>9681500404</v>
      </c>
      <c r="D51" s="24" t="s">
        <v>12</v>
      </c>
      <c r="E51" s="15" t="n">
        <f aca="false">K51-L51</f>
        <v>0</v>
      </c>
      <c r="F51" s="21"/>
      <c r="G51" s="22"/>
      <c r="H51" s="22"/>
      <c r="I51" s="13" t="n">
        <v>8</v>
      </c>
      <c r="J51" s="13" t="n">
        <f aca="false">IF(I51-E51 &lt;0,0,I51-E51)</f>
        <v>8</v>
      </c>
      <c r="K51" s="13" t="n">
        <v>0</v>
      </c>
      <c r="L51" s="7"/>
      <c r="M51" s="18"/>
    </row>
    <row r="52" customFormat="false" ht="23.25" hidden="false" customHeight="false" outlineLevel="0" collapsed="false">
      <c r="A52" s="13" t="n">
        <v>51</v>
      </c>
      <c r="B52" s="13"/>
      <c r="C52" s="13" t="n">
        <v>9681600222</v>
      </c>
      <c r="D52" s="14" t="s">
        <v>12</v>
      </c>
      <c r="E52" s="15" t="n">
        <f aca="false">K52-L52</f>
        <v>21</v>
      </c>
      <c r="F52" s="21"/>
      <c r="G52" s="22"/>
      <c r="H52" s="22"/>
      <c r="I52" s="13" t="n">
        <v>6</v>
      </c>
      <c r="J52" s="13" t="n">
        <f aca="false">IF(I52-E52 &lt;0,0,I52-E52)</f>
        <v>0</v>
      </c>
      <c r="K52" s="13" t="n">
        <v>28</v>
      </c>
      <c r="L52" s="7" t="n">
        <v>7</v>
      </c>
      <c r="M52" s="18"/>
    </row>
    <row r="53" customFormat="false" ht="23.25" hidden="false" customHeight="false" outlineLevel="0" collapsed="false">
      <c r="A53" s="13" t="n">
        <v>52</v>
      </c>
      <c r="B53" s="13"/>
      <c r="C53" s="13" t="n">
        <v>9681802202</v>
      </c>
      <c r="D53" s="24" t="s">
        <v>12</v>
      </c>
      <c r="E53" s="15" t="n">
        <f aca="false">K53-L53</f>
        <v>18</v>
      </c>
      <c r="F53" s="21"/>
      <c r="G53" s="22"/>
      <c r="H53" s="22"/>
      <c r="I53" s="13" t="n">
        <v>4</v>
      </c>
      <c r="J53" s="13" t="n">
        <f aca="false">IF(I53-E53 &lt;0,0,I53-E53)</f>
        <v>0</v>
      </c>
      <c r="K53" s="13" t="n">
        <v>18</v>
      </c>
      <c r="L53" s="7"/>
      <c r="M53" s="18"/>
    </row>
    <row r="54" customFormat="false" ht="23.25" hidden="false" customHeight="false" outlineLevel="0" collapsed="false">
      <c r="A54" s="13" t="n">
        <v>53</v>
      </c>
      <c r="B54" s="13"/>
      <c r="C54" s="13" t="n">
        <v>9681000453</v>
      </c>
      <c r="D54" s="14" t="s">
        <v>12</v>
      </c>
      <c r="E54" s="15" t="n">
        <f aca="false">K54-L54</f>
        <v>7</v>
      </c>
      <c r="F54" s="16" t="s">
        <v>31</v>
      </c>
      <c r="G54" s="17" t="n">
        <v>1</v>
      </c>
      <c r="H54" s="17" t="n">
        <v>140</v>
      </c>
      <c r="I54" s="13" t="n">
        <v>8</v>
      </c>
      <c r="J54" s="13" t="n">
        <f aca="false">IF(I54-E54 &lt;0,0,I54-E54)</f>
        <v>1</v>
      </c>
      <c r="K54" s="13" t="n">
        <v>17</v>
      </c>
      <c r="L54" s="7" t="n">
        <v>10</v>
      </c>
      <c r="M54" s="18"/>
    </row>
    <row r="55" customFormat="false" ht="23.25" hidden="false" customHeight="false" outlineLevel="0" collapsed="false">
      <c r="A55" s="13" t="n">
        <v>54</v>
      </c>
      <c r="B55" s="13"/>
      <c r="C55" s="13" t="n">
        <v>9682001452</v>
      </c>
      <c r="D55" s="14" t="s">
        <v>12</v>
      </c>
      <c r="E55" s="15" t="n">
        <f aca="false">K55-L55</f>
        <v>12</v>
      </c>
      <c r="F55" s="21"/>
      <c r="G55" s="22"/>
      <c r="H55" s="22"/>
      <c r="I55" s="13" t="n">
        <v>6</v>
      </c>
      <c r="J55" s="13" t="n">
        <f aca="false">IF(I55-E55 &lt;0,0,I55-E55)</f>
        <v>0</v>
      </c>
      <c r="K55" s="13" t="n">
        <v>13</v>
      </c>
      <c r="L55" s="7" t="n">
        <v>1</v>
      </c>
      <c r="M55" s="18" t="n">
        <v>1</v>
      </c>
    </row>
    <row r="56" customFormat="false" ht="23.25" hidden="false" customHeight="false" outlineLevel="0" collapsed="false">
      <c r="A56" s="13" t="n">
        <v>55</v>
      </c>
      <c r="B56" s="13"/>
      <c r="C56" s="13" t="n">
        <v>9683601202</v>
      </c>
      <c r="D56" s="14" t="s">
        <v>12</v>
      </c>
      <c r="E56" s="15" t="n">
        <f aca="false">K56-L56</f>
        <v>7</v>
      </c>
      <c r="F56" s="16" t="s">
        <v>38</v>
      </c>
      <c r="G56" s="17" t="n">
        <v>1</v>
      </c>
      <c r="H56" s="17" t="n">
        <v>40</v>
      </c>
      <c r="I56" s="13" t="n">
        <v>10</v>
      </c>
      <c r="J56" s="13" t="n">
        <f aca="false">IF(I56-E56 &lt;0,0,I56-E56)</f>
        <v>3</v>
      </c>
      <c r="K56" s="13" t="n">
        <v>9</v>
      </c>
      <c r="L56" s="7" t="n">
        <v>2</v>
      </c>
      <c r="M56" s="18"/>
    </row>
    <row r="57" customFormat="false" ht="23.25" hidden="false" customHeight="false" outlineLevel="0" collapsed="false">
      <c r="A57" s="13" t="n">
        <v>56</v>
      </c>
      <c r="B57" s="13"/>
      <c r="C57" s="13" t="n">
        <v>9752010044</v>
      </c>
      <c r="D57" s="13" t="s">
        <v>35</v>
      </c>
      <c r="E57" s="15" t="n">
        <f aca="false">K57-L57</f>
        <v>22</v>
      </c>
      <c r="F57" s="21"/>
      <c r="G57" s="22"/>
      <c r="H57" s="22"/>
      <c r="I57" s="13" t="n">
        <v>4</v>
      </c>
      <c r="J57" s="13" t="n">
        <f aca="false">IF(I57-E57 &lt;0,0,I57-E57)</f>
        <v>0</v>
      </c>
      <c r="K57" s="13" t="n">
        <v>24</v>
      </c>
      <c r="L57" s="7" t="n">
        <v>2</v>
      </c>
      <c r="M57" s="18"/>
    </row>
    <row r="58" customFormat="false" ht="23.25" hidden="false" customHeight="false" outlineLevel="0" collapsed="false">
      <c r="A58" s="13" t="n">
        <v>57</v>
      </c>
      <c r="B58" s="13"/>
      <c r="C58" s="13" t="n">
        <v>9752100080</v>
      </c>
      <c r="D58" s="14" t="s">
        <v>35</v>
      </c>
      <c r="E58" s="15" t="n">
        <f aca="false">K58-L58</f>
        <v>21</v>
      </c>
      <c r="F58" s="21"/>
      <c r="G58" s="22"/>
      <c r="H58" s="22"/>
      <c r="I58" s="13" t="n">
        <v>16</v>
      </c>
      <c r="J58" s="13" t="n">
        <f aca="false">IF(I58-E58 &lt;0,0,I58-E58)</f>
        <v>0</v>
      </c>
      <c r="K58" s="13" t="n">
        <v>27</v>
      </c>
      <c r="L58" s="7" t="n">
        <v>6</v>
      </c>
      <c r="M58" s="18"/>
    </row>
    <row r="59" customFormat="false" ht="23.25" hidden="false" customHeight="false" outlineLevel="0" collapsed="false">
      <c r="A59" s="13" t="n">
        <v>58</v>
      </c>
      <c r="B59" s="13"/>
      <c r="C59" s="13" t="n">
        <v>9752100100</v>
      </c>
      <c r="D59" s="13"/>
      <c r="E59" s="15" t="n">
        <f aca="false">K59-L59</f>
        <v>9</v>
      </c>
      <c r="F59" s="21"/>
      <c r="G59" s="22"/>
      <c r="H59" s="22"/>
      <c r="I59" s="13"/>
      <c r="J59" s="13" t="n">
        <f aca="false">IF(I59-E59 &lt;0,0,I59-E59)</f>
        <v>0</v>
      </c>
      <c r="K59" s="13" t="n">
        <v>9</v>
      </c>
      <c r="L59" s="7"/>
      <c r="M59" s="18"/>
    </row>
    <row r="60" customFormat="false" ht="23.25" hidden="false" customHeight="false" outlineLevel="0" collapsed="false">
      <c r="A60" s="13" t="n">
        <v>59</v>
      </c>
      <c r="B60" s="13"/>
      <c r="C60" s="13" t="n">
        <v>9682701364</v>
      </c>
      <c r="D60" s="14" t="s">
        <v>12</v>
      </c>
      <c r="E60" s="15" t="n">
        <f aca="false">K60-L60</f>
        <v>9</v>
      </c>
      <c r="F60" s="21"/>
      <c r="G60" s="22"/>
      <c r="H60" s="22"/>
      <c r="I60" s="13" t="n">
        <v>6</v>
      </c>
      <c r="J60" s="13" t="n">
        <f aca="false">IF(I60-E60 &lt;0,0,I60-E60)</f>
        <v>0</v>
      </c>
      <c r="K60" s="13" t="n">
        <v>19</v>
      </c>
      <c r="L60" s="7" t="n">
        <v>10</v>
      </c>
      <c r="M60" s="18"/>
    </row>
    <row r="61" customFormat="false" ht="23.25" hidden="false" customHeight="false" outlineLevel="0" collapsed="false">
      <c r="A61" s="13" t="n">
        <v>60</v>
      </c>
      <c r="B61" s="13"/>
      <c r="C61" s="13" t="n">
        <v>9794410150</v>
      </c>
      <c r="D61" s="14" t="s">
        <v>12</v>
      </c>
      <c r="E61" s="15" t="n">
        <f aca="false">K61-L61</f>
        <v>14</v>
      </c>
      <c r="F61" s="21"/>
      <c r="G61" s="22"/>
      <c r="H61" s="22"/>
      <c r="I61" s="13" t="n">
        <v>10</v>
      </c>
      <c r="J61" s="13" t="n">
        <f aca="false">IF(I61-E61 &lt;0,0,I61-E61)</f>
        <v>0</v>
      </c>
      <c r="K61" s="13" t="n">
        <v>23</v>
      </c>
      <c r="L61" s="7" t="n">
        <v>9</v>
      </c>
      <c r="M61" s="18"/>
    </row>
    <row r="62" customFormat="false" ht="23.25" hidden="false" customHeight="false" outlineLevel="0" collapsed="false">
      <c r="A62" s="13" t="n">
        <v>61</v>
      </c>
      <c r="B62" s="13"/>
      <c r="C62" s="13" t="n">
        <v>9682006822</v>
      </c>
      <c r="D62" s="14" t="s">
        <v>12</v>
      </c>
      <c r="E62" s="15" t="n">
        <f aca="false">K62-L62</f>
        <v>5</v>
      </c>
      <c r="F62" s="21"/>
      <c r="G62" s="22"/>
      <c r="H62" s="22"/>
      <c r="I62" s="13" t="n">
        <v>6</v>
      </c>
      <c r="J62" s="13" t="n">
        <f aca="false">IF(I62-E62 &lt;0,0,I62-E62)</f>
        <v>1</v>
      </c>
      <c r="K62" s="13" t="n">
        <v>14</v>
      </c>
      <c r="L62" s="7" t="n">
        <v>9</v>
      </c>
      <c r="M62" s="18"/>
    </row>
    <row r="63" customFormat="false" ht="23.25" hidden="false" customHeight="false" outlineLevel="0" collapsed="false">
      <c r="A63" s="13" t="n">
        <v>62</v>
      </c>
      <c r="B63" s="13"/>
      <c r="C63" s="13" t="n">
        <v>301510010</v>
      </c>
      <c r="D63" s="14" t="s">
        <v>39</v>
      </c>
      <c r="E63" s="15" t="n">
        <f aca="false">K63-L63</f>
        <v>18</v>
      </c>
      <c r="F63" s="21"/>
      <c r="G63" s="22"/>
      <c r="H63" s="22"/>
      <c r="I63" s="13" t="n">
        <v>2</v>
      </c>
      <c r="J63" s="13" t="n">
        <f aca="false">IF(I63-E63 &lt;0,0,I63-E63)</f>
        <v>0</v>
      </c>
      <c r="K63" s="13" t="n">
        <v>19</v>
      </c>
      <c r="L63" s="7" t="n">
        <v>1</v>
      </c>
      <c r="M63" s="18"/>
    </row>
    <row r="64" customFormat="false" ht="23.25" hidden="false" customHeight="false" outlineLevel="0" collapsed="false">
      <c r="A64" s="13" t="n">
        <v>63</v>
      </c>
      <c r="B64" s="13"/>
      <c r="C64" s="13" t="n">
        <v>9682005752</v>
      </c>
      <c r="D64" s="24" t="s">
        <v>12</v>
      </c>
      <c r="E64" s="15" t="n">
        <f aca="false">K64-L64</f>
        <v>1</v>
      </c>
      <c r="F64" s="21"/>
      <c r="G64" s="22"/>
      <c r="H64" s="22"/>
      <c r="I64" s="13" t="n">
        <v>8</v>
      </c>
      <c r="J64" s="13" t="n">
        <f aca="false">IF(I64-E64 &lt;0,0,I64-E64)</f>
        <v>7</v>
      </c>
      <c r="K64" s="13" t="n">
        <v>12</v>
      </c>
      <c r="L64" s="7" t="n">
        <v>11</v>
      </c>
      <c r="M64" s="18" t="s">
        <v>40</v>
      </c>
    </row>
    <row r="65" customFormat="false" ht="23.25" hidden="false" customHeight="false" outlineLevel="0" collapsed="false">
      <c r="A65" s="13" t="n">
        <v>64</v>
      </c>
      <c r="B65" s="13"/>
      <c r="C65" s="13" t="n">
        <v>9794410075</v>
      </c>
      <c r="D65" s="14" t="s">
        <v>12</v>
      </c>
      <c r="E65" s="15" t="n">
        <f aca="false">K65-L65</f>
        <v>79</v>
      </c>
      <c r="F65" s="21"/>
      <c r="G65" s="22"/>
      <c r="H65" s="22"/>
      <c r="I65" s="13" t="n">
        <v>60</v>
      </c>
      <c r="J65" s="13" t="n">
        <f aca="false">IF(I65-E65 &lt;0,0,I65-E65)</f>
        <v>0</v>
      </c>
      <c r="K65" s="13" t="n">
        <v>80</v>
      </c>
      <c r="L65" s="7" t="n">
        <v>1</v>
      </c>
      <c r="M65" s="18"/>
    </row>
    <row r="66" customFormat="false" ht="23.25" hidden="false" customHeight="false" outlineLevel="0" collapsed="false">
      <c r="A66" s="13" t="n">
        <v>65</v>
      </c>
      <c r="B66" s="13"/>
      <c r="C66" s="13" t="n">
        <v>9794410560</v>
      </c>
      <c r="D66" s="24" t="s">
        <v>12</v>
      </c>
      <c r="E66" s="15" t="n">
        <f aca="false">K66-L66</f>
        <v>9</v>
      </c>
      <c r="F66" s="21"/>
      <c r="G66" s="22"/>
      <c r="H66" s="22"/>
      <c r="I66" s="13" t="n">
        <v>4</v>
      </c>
      <c r="J66" s="13" t="n">
        <f aca="false">IF(I66-E66 &lt;0,0,I66-E66)</f>
        <v>0</v>
      </c>
      <c r="K66" s="13" t="n">
        <v>9</v>
      </c>
      <c r="L66" s="7"/>
      <c r="M66" s="18"/>
    </row>
    <row r="67" customFormat="false" ht="23.25" hidden="false" customHeight="false" outlineLevel="0" collapsed="false">
      <c r="A67" s="13" t="n">
        <v>66</v>
      </c>
      <c r="B67" s="13"/>
      <c r="C67" s="13" t="n">
        <v>9794710800</v>
      </c>
      <c r="D67" s="24" t="s">
        <v>12</v>
      </c>
      <c r="E67" s="15" t="n">
        <f aca="false">K67-L67</f>
        <v>3</v>
      </c>
      <c r="F67" s="21"/>
      <c r="G67" s="22"/>
      <c r="H67" s="22"/>
      <c r="I67" s="13" t="n">
        <v>4</v>
      </c>
      <c r="J67" s="13" t="n">
        <f aca="false">IF(I67-E67 &lt;0,0,I67-E67)</f>
        <v>1</v>
      </c>
      <c r="K67" s="13" t="n">
        <v>15</v>
      </c>
      <c r="L67" s="7" t="n">
        <v>12</v>
      </c>
      <c r="M67" s="18"/>
    </row>
    <row r="68" customFormat="false" ht="23.25" hidden="false" customHeight="false" outlineLevel="0" collapsed="false">
      <c r="A68" s="13" t="n">
        <v>67</v>
      </c>
      <c r="B68" s="13"/>
      <c r="C68" s="13" t="n">
        <v>298710320</v>
      </c>
      <c r="D68" s="14" t="s">
        <v>35</v>
      </c>
      <c r="E68" s="15" t="n">
        <f aca="false">K68-L68</f>
        <v>6</v>
      </c>
      <c r="F68" s="16" t="s">
        <v>41</v>
      </c>
      <c r="G68" s="17" t="n">
        <v>1</v>
      </c>
      <c r="H68" s="17" t="n">
        <v>50</v>
      </c>
      <c r="I68" s="13" t="n">
        <v>6</v>
      </c>
      <c r="J68" s="13" t="n">
        <f aca="false">IF(I68-E68 &lt;0,0,I68-E68)</f>
        <v>0</v>
      </c>
      <c r="K68" s="13" t="n">
        <v>17</v>
      </c>
      <c r="L68" s="7" t="n">
        <v>11</v>
      </c>
      <c r="M68" s="18"/>
    </row>
    <row r="69" customFormat="false" ht="23.25" hidden="false" customHeight="false" outlineLevel="0" collapsed="false">
      <c r="A69" s="13" t="n">
        <v>69</v>
      </c>
      <c r="B69" s="13"/>
      <c r="C69" s="13" t="s">
        <v>42</v>
      </c>
      <c r="D69" s="14" t="s">
        <v>43</v>
      </c>
      <c r="E69" s="15" t="n">
        <f aca="false">K69-L69</f>
        <v>2</v>
      </c>
      <c r="F69" s="16" t="s">
        <v>31</v>
      </c>
      <c r="G69" s="17" t="n">
        <v>1</v>
      </c>
      <c r="H69" s="17" t="n">
        <v>740</v>
      </c>
      <c r="I69" s="13" t="n">
        <v>2</v>
      </c>
      <c r="J69" s="13" t="n">
        <f aca="false">IF(I69-E69 &lt;0,0,I69-E69)</f>
        <v>0</v>
      </c>
      <c r="K69" s="13" t="n">
        <v>6</v>
      </c>
      <c r="L69" s="7" t="n">
        <v>4</v>
      </c>
      <c r="M69" s="18"/>
    </row>
    <row r="70" customFormat="false" ht="23.25" hidden="false" customHeight="false" outlineLevel="0" collapsed="false">
      <c r="A70" s="13" t="n">
        <v>70</v>
      </c>
      <c r="B70" s="13"/>
      <c r="C70" s="13" t="n">
        <v>9520011817</v>
      </c>
      <c r="D70" s="13"/>
      <c r="E70" s="15" t="n">
        <f aca="false">K70-L70</f>
        <v>3</v>
      </c>
      <c r="F70" s="21"/>
      <c r="G70" s="22"/>
      <c r="H70" s="22"/>
      <c r="I70" s="13"/>
      <c r="J70" s="13" t="n">
        <f aca="false">IF(I70-E70 &lt;0,0,I70-E70)</f>
        <v>0</v>
      </c>
      <c r="K70" s="13" t="n">
        <v>3</v>
      </c>
      <c r="L70" s="7"/>
      <c r="M70" s="18"/>
    </row>
    <row r="71" customFormat="false" ht="23.25" hidden="false" customHeight="false" outlineLevel="0" collapsed="false">
      <c r="A71" s="13" t="n">
        <v>71</v>
      </c>
      <c r="B71" s="13"/>
      <c r="C71" s="13" t="n">
        <v>9560115450</v>
      </c>
      <c r="D71" s="13"/>
      <c r="E71" s="15" t="n">
        <f aca="false">K71-L71</f>
        <v>1</v>
      </c>
      <c r="F71" s="21"/>
      <c r="G71" s="22"/>
      <c r="H71" s="22"/>
      <c r="I71" s="13"/>
      <c r="J71" s="13" t="n">
        <f aca="false">IF(I71-E71 &lt;0,0,I71-E71)</f>
        <v>0</v>
      </c>
      <c r="K71" s="13" t="n">
        <v>2</v>
      </c>
      <c r="L71" s="7" t="n">
        <v>1</v>
      </c>
      <c r="M71" s="18" t="s">
        <v>44</v>
      </c>
    </row>
    <row r="72" customFormat="false" ht="23.25" hidden="false" customHeight="false" outlineLevel="0" collapsed="false">
      <c r="A72" s="13" t="n">
        <v>72</v>
      </c>
      <c r="B72" s="13"/>
      <c r="C72" s="13" t="n">
        <v>9681808101</v>
      </c>
      <c r="D72" s="24" t="s">
        <v>12</v>
      </c>
      <c r="E72" s="15" t="n">
        <f aca="false">K72-L72</f>
        <v>10</v>
      </c>
      <c r="F72" s="21"/>
      <c r="G72" s="22"/>
      <c r="H72" s="22"/>
      <c r="I72" s="13" t="n">
        <v>4</v>
      </c>
      <c r="J72" s="13" t="n">
        <f aca="false">IF(I72-E72 &lt;0,0,I72-E72)</f>
        <v>0</v>
      </c>
      <c r="K72" s="13" t="n">
        <v>10</v>
      </c>
      <c r="L72" s="7"/>
      <c r="M72" s="18"/>
    </row>
    <row r="73" customFormat="false" ht="23.25" hidden="false" customHeight="false" outlineLevel="0" collapsed="false">
      <c r="A73" s="13" t="n">
        <v>73</v>
      </c>
      <c r="B73" s="13"/>
      <c r="C73" s="13" t="s">
        <v>45</v>
      </c>
      <c r="D73" s="14" t="s">
        <v>46</v>
      </c>
      <c r="E73" s="15" t="n">
        <f aca="false">K73-L73</f>
        <v>6</v>
      </c>
      <c r="F73" s="16" t="s">
        <v>14</v>
      </c>
      <c r="G73" s="17" t="n">
        <v>1</v>
      </c>
      <c r="H73" s="17" t="n">
        <v>190</v>
      </c>
      <c r="I73" s="13" t="n">
        <v>2</v>
      </c>
      <c r="J73" s="13" t="n">
        <f aca="false">IF(I73-E73 &lt;0,0,I73-E73)</f>
        <v>0</v>
      </c>
      <c r="K73" s="13" t="n">
        <v>17</v>
      </c>
      <c r="L73" s="7" t="n">
        <v>11</v>
      </c>
      <c r="M73" s="18"/>
    </row>
    <row r="74" customFormat="false" ht="23.25" hidden="false" customHeight="false" outlineLevel="0" collapsed="false">
      <c r="A74" s="13" t="n">
        <v>74</v>
      </c>
      <c r="B74" s="13"/>
      <c r="C74" s="13" t="s">
        <v>47</v>
      </c>
      <c r="D74" s="14" t="s">
        <v>48</v>
      </c>
      <c r="E74" s="15" t="n">
        <f aca="false">K74-L74</f>
        <v>8</v>
      </c>
      <c r="F74" s="16" t="n">
        <v>36856</v>
      </c>
      <c r="G74" s="17" t="n">
        <v>1</v>
      </c>
      <c r="H74" s="17" t="s">
        <v>49</v>
      </c>
      <c r="I74" s="13" t="n">
        <v>8</v>
      </c>
      <c r="J74" s="13" t="n">
        <f aca="false">IF(I74-E74 &lt;0,0,I74-E74)</f>
        <v>0</v>
      </c>
      <c r="K74" s="13" t="n">
        <v>8</v>
      </c>
      <c r="L74" s="7"/>
      <c r="M74" s="18"/>
    </row>
    <row r="75" customFormat="false" ht="23.25" hidden="false" customHeight="false" outlineLevel="0" collapsed="false">
      <c r="A75" s="13" t="n">
        <v>75</v>
      </c>
      <c r="B75" s="13"/>
      <c r="C75" s="13" t="n">
        <v>9560167960</v>
      </c>
      <c r="D75" s="14" t="s">
        <v>50</v>
      </c>
      <c r="E75" s="15" t="n">
        <f aca="false">K75-L75</f>
        <v>10</v>
      </c>
      <c r="F75" s="21"/>
      <c r="G75" s="22"/>
      <c r="H75" s="22"/>
      <c r="I75" s="13" t="n">
        <v>4</v>
      </c>
      <c r="J75" s="13" t="n">
        <f aca="false">IF(I75-E75 &lt;0,0,I75-E75)</f>
        <v>0</v>
      </c>
      <c r="K75" s="13" t="n">
        <v>13</v>
      </c>
      <c r="L75" s="7" t="n">
        <v>3</v>
      </c>
      <c r="M75" s="18"/>
    </row>
    <row r="76" customFormat="false" ht="23.25" hidden="false" customHeight="false" outlineLevel="0" collapsed="false">
      <c r="A76" s="13" t="n">
        <v>76</v>
      </c>
      <c r="B76" s="13"/>
      <c r="C76" s="13" t="n">
        <v>9520000600</v>
      </c>
      <c r="D76" s="13"/>
      <c r="E76" s="15" t="n">
        <f aca="false">K76-L76</f>
        <v>3</v>
      </c>
      <c r="F76" s="21"/>
      <c r="G76" s="22"/>
      <c r="H76" s="22"/>
      <c r="I76" s="13"/>
      <c r="J76" s="13" t="n">
        <f aca="false">IF(I76-E76 &lt;0,0,I76-E76)</f>
        <v>0</v>
      </c>
      <c r="K76" s="13" t="n">
        <v>3</v>
      </c>
      <c r="L76" s="7"/>
      <c r="M76" s="18"/>
    </row>
    <row r="77" customFormat="false" ht="23.25" hidden="false" customHeight="false" outlineLevel="0" collapsed="false">
      <c r="A77" s="13" t="n">
        <v>77</v>
      </c>
      <c r="B77" s="13"/>
      <c r="C77" s="13" t="n">
        <v>9520000800</v>
      </c>
      <c r="D77" s="13"/>
      <c r="E77" s="15" t="n">
        <f aca="false">K77-L77</f>
        <v>2</v>
      </c>
      <c r="F77" s="21"/>
      <c r="G77" s="22"/>
      <c r="H77" s="22"/>
      <c r="I77" s="13"/>
      <c r="J77" s="13" t="n">
        <f aca="false">IF(I77-E77 &lt;0,0,I77-E77)</f>
        <v>0</v>
      </c>
      <c r="K77" s="13" t="n">
        <v>2</v>
      </c>
      <c r="L77" s="7"/>
      <c r="M77" s="18"/>
    </row>
    <row r="78" customFormat="false" ht="23.25" hidden="false" customHeight="false" outlineLevel="0" collapsed="false">
      <c r="A78" s="13" t="n">
        <v>78</v>
      </c>
      <c r="B78" s="13"/>
      <c r="C78" s="13" t="n">
        <v>9520001500</v>
      </c>
      <c r="D78" s="13"/>
      <c r="E78" s="15" t="n">
        <f aca="false">K78-L78</f>
        <v>5</v>
      </c>
      <c r="F78" s="21"/>
      <c r="G78" s="22"/>
      <c r="H78" s="22"/>
      <c r="I78" s="13"/>
      <c r="J78" s="13" t="n">
        <f aca="false">IF(I78-E78 &lt;0,0,I78-E78)</f>
        <v>0</v>
      </c>
      <c r="K78" s="13" t="n">
        <v>6</v>
      </c>
      <c r="L78" s="7" t="n">
        <v>1</v>
      </c>
      <c r="M78" s="18"/>
    </row>
    <row r="79" customFormat="false" ht="23.25" hidden="false" customHeight="false" outlineLevel="0" collapsed="false">
      <c r="A79" s="13" t="n">
        <v>79</v>
      </c>
      <c r="B79" s="13"/>
      <c r="C79" s="13" t="n">
        <v>9520010628</v>
      </c>
      <c r="D79" s="24" t="s">
        <v>35</v>
      </c>
      <c r="E79" s="15" t="n">
        <f aca="false">K79-L79</f>
        <v>10</v>
      </c>
      <c r="F79" s="21"/>
      <c r="G79" s="22"/>
      <c r="H79" s="22"/>
      <c r="I79" s="13" t="n">
        <v>4</v>
      </c>
      <c r="J79" s="13" t="n">
        <f aca="false">IF(I79-E79 &lt;0,0,I79-E79)</f>
        <v>0</v>
      </c>
      <c r="K79" s="13" t="n">
        <v>12</v>
      </c>
      <c r="L79" s="7" t="n">
        <v>2</v>
      </c>
      <c r="M79" s="18"/>
    </row>
    <row r="80" customFormat="false" ht="23.25" hidden="false" customHeight="false" outlineLevel="0" collapsed="false">
      <c r="A80" s="13" t="n">
        <v>80</v>
      </c>
      <c r="B80" s="13"/>
      <c r="C80" s="13" t="n">
        <v>9550178890</v>
      </c>
      <c r="D80" s="13"/>
      <c r="E80" s="15" t="n">
        <f aca="false">K80-L80</f>
        <v>20</v>
      </c>
      <c r="F80" s="21"/>
      <c r="G80" s="22"/>
      <c r="H80" s="22"/>
      <c r="I80" s="13"/>
      <c r="J80" s="13" t="n">
        <f aca="false">IF(I80-E80 &lt;0,0,I80-E80)</f>
        <v>0</v>
      </c>
      <c r="K80" s="13" t="n">
        <v>20</v>
      </c>
      <c r="L80" s="7"/>
      <c r="M80" s="18"/>
    </row>
    <row r="81" customFormat="false" ht="23.25" hidden="false" customHeight="false" outlineLevel="0" collapsed="false">
      <c r="A81" s="13" t="n">
        <v>81</v>
      </c>
      <c r="B81" s="13"/>
      <c r="C81" s="13" t="n">
        <v>9550178900</v>
      </c>
      <c r="D81" s="13"/>
      <c r="E81" s="15" t="n">
        <f aca="false">K81-L81</f>
        <v>30</v>
      </c>
      <c r="F81" s="21"/>
      <c r="G81" s="22"/>
      <c r="H81" s="22"/>
      <c r="I81" s="13"/>
      <c r="J81" s="13" t="n">
        <f aca="false">IF(I81-E81 &lt;0,0,I81-E81)</f>
        <v>0</v>
      </c>
      <c r="K81" s="13" t="n">
        <v>30</v>
      </c>
      <c r="L81" s="7"/>
      <c r="M81" s="18"/>
    </row>
    <row r="82" customFormat="false" ht="23.25" hidden="false" customHeight="false" outlineLevel="0" collapsed="false">
      <c r="A82" s="13" t="n">
        <v>82</v>
      </c>
      <c r="B82" s="13"/>
      <c r="C82" s="13" t="n">
        <v>9550180670</v>
      </c>
      <c r="D82" s="24" t="s">
        <v>51</v>
      </c>
      <c r="E82" s="15" t="n">
        <f aca="false">K82-L82</f>
        <v>3</v>
      </c>
      <c r="F82" s="21"/>
      <c r="G82" s="22"/>
      <c r="H82" s="22"/>
      <c r="I82" s="13" t="n">
        <v>2</v>
      </c>
      <c r="J82" s="13" t="n">
        <f aca="false">IF(I82-E82 &lt;0,0,I82-E82)</f>
        <v>0</v>
      </c>
      <c r="K82" s="13" t="n">
        <v>3</v>
      </c>
      <c r="L82" s="7"/>
      <c r="M82" s="18"/>
    </row>
    <row r="83" customFormat="false" ht="23.25" hidden="false" customHeight="false" outlineLevel="0" collapsed="false">
      <c r="A83" s="13" t="n">
        <v>83</v>
      </c>
      <c r="B83" s="13"/>
      <c r="C83" s="13" t="n">
        <v>9520010629</v>
      </c>
      <c r="D83" s="24" t="s">
        <v>35</v>
      </c>
      <c r="E83" s="15" t="n">
        <f aca="false">K83-L83</f>
        <v>11</v>
      </c>
      <c r="F83" s="21"/>
      <c r="G83" s="22"/>
      <c r="H83" s="22"/>
      <c r="I83" s="13" t="n">
        <v>4</v>
      </c>
      <c r="J83" s="13" t="n">
        <f aca="false">IF(I83-E83 &lt;0,0,I83-E83)</f>
        <v>0</v>
      </c>
      <c r="K83" s="13" t="n">
        <v>12</v>
      </c>
      <c r="L83" s="7" t="n">
        <v>1</v>
      </c>
      <c r="M83" s="18"/>
    </row>
    <row r="84" customFormat="false" ht="23.25" hidden="false" customHeight="false" outlineLevel="0" collapsed="false">
      <c r="A84" s="13" t="n">
        <v>84</v>
      </c>
      <c r="B84" s="13"/>
      <c r="C84" s="13" t="n">
        <v>9560152730</v>
      </c>
      <c r="D84" s="14" t="s">
        <v>52</v>
      </c>
      <c r="E84" s="15" t="n">
        <f aca="false">K84-L84</f>
        <v>55</v>
      </c>
      <c r="F84" s="21"/>
      <c r="G84" s="22"/>
      <c r="H84" s="22"/>
      <c r="I84" s="13" t="n">
        <v>24</v>
      </c>
      <c r="J84" s="13" t="n">
        <f aca="false">IF(I84-E84 &lt;0,0,I84-E84)</f>
        <v>0</v>
      </c>
      <c r="K84" s="13" t="n">
        <v>55</v>
      </c>
      <c r="L84" s="7"/>
      <c r="M84" s="18"/>
    </row>
    <row r="85" customFormat="false" ht="23.25" hidden="false" customHeight="false" outlineLevel="0" collapsed="false">
      <c r="A85" s="13" t="n">
        <v>85</v>
      </c>
      <c r="B85" s="13"/>
      <c r="C85" s="13" t="n">
        <v>9560172850</v>
      </c>
      <c r="D85" s="13"/>
      <c r="E85" s="15" t="n">
        <f aca="false">K85-L85</f>
        <v>8</v>
      </c>
      <c r="F85" s="21"/>
      <c r="G85" s="22"/>
      <c r="H85" s="22"/>
      <c r="I85" s="13"/>
      <c r="J85" s="13" t="n">
        <f aca="false">IF(I85-E85 &lt;0,0,I85-E85)</f>
        <v>0</v>
      </c>
      <c r="K85" s="13" t="n">
        <v>8</v>
      </c>
      <c r="L85" s="7"/>
      <c r="M85" s="18"/>
    </row>
    <row r="86" customFormat="false" ht="23.25" hidden="false" customHeight="false" outlineLevel="0" collapsed="false">
      <c r="A86" s="13" t="n">
        <v>86</v>
      </c>
      <c r="B86" s="13"/>
      <c r="C86" s="13" t="n">
        <v>9560172870</v>
      </c>
      <c r="D86" s="13"/>
      <c r="E86" s="15" t="n">
        <f aca="false">K86-L86</f>
        <v>0</v>
      </c>
      <c r="F86" s="21"/>
      <c r="G86" s="22"/>
      <c r="H86" s="22"/>
      <c r="I86" s="13"/>
      <c r="J86" s="13" t="n">
        <f aca="false">IF(I86-E86 &lt;0,0,I86-E86)</f>
        <v>0</v>
      </c>
      <c r="K86" s="13" t="n">
        <v>17</v>
      </c>
      <c r="L86" s="7" t="n">
        <v>17</v>
      </c>
      <c r="M86" s="18"/>
    </row>
    <row r="87" customFormat="false" ht="23.25" hidden="false" customHeight="false" outlineLevel="0" collapsed="false">
      <c r="A87" s="13" t="n">
        <v>87</v>
      </c>
      <c r="B87" s="13"/>
      <c r="C87" s="13" t="n">
        <v>9560146920</v>
      </c>
      <c r="D87" s="14" t="s">
        <v>53</v>
      </c>
      <c r="E87" s="15" t="n">
        <f aca="false">K87-L87</f>
        <v>41</v>
      </c>
      <c r="F87" s="21"/>
      <c r="G87" s="22"/>
      <c r="H87" s="22"/>
      <c r="I87" s="13" t="n">
        <v>24</v>
      </c>
      <c r="J87" s="13" t="n">
        <f aca="false">IF(I87-E87 &lt;0,0,I87-E87)</f>
        <v>0</v>
      </c>
      <c r="K87" s="13" t="n">
        <v>41</v>
      </c>
      <c r="L87" s="7"/>
      <c r="M87" s="18"/>
    </row>
    <row r="88" customFormat="false" ht="23.25" hidden="false" customHeight="false" outlineLevel="0" collapsed="false">
      <c r="A88" s="13" t="n">
        <v>88</v>
      </c>
      <c r="B88" s="13"/>
      <c r="C88" s="13" t="n">
        <v>9561080040</v>
      </c>
      <c r="D88" s="13"/>
      <c r="E88" s="15" t="n">
        <f aca="false">K88-L88</f>
        <v>8</v>
      </c>
      <c r="F88" s="21"/>
      <c r="G88" s="22"/>
      <c r="H88" s="22"/>
      <c r="I88" s="13"/>
      <c r="J88" s="13" t="n">
        <f aca="false">IF(I88-E88 &lt;0,0,I88-E88)</f>
        <v>0</v>
      </c>
      <c r="K88" s="13" t="n">
        <v>8</v>
      </c>
      <c r="L88" s="7"/>
      <c r="M88" s="18"/>
    </row>
    <row r="89" customFormat="false" ht="23.25" hidden="false" customHeight="false" outlineLevel="0" collapsed="false">
      <c r="A89" s="13" t="n">
        <v>89</v>
      </c>
      <c r="B89" s="13"/>
      <c r="C89" s="13" t="n">
        <v>9560172210</v>
      </c>
      <c r="D89" s="24" t="s">
        <v>54</v>
      </c>
      <c r="E89" s="15" t="n">
        <f aca="false">K89-L89</f>
        <v>16</v>
      </c>
      <c r="F89" s="21"/>
      <c r="G89" s="22"/>
      <c r="H89" s="22"/>
      <c r="I89" s="13" t="n">
        <v>8</v>
      </c>
      <c r="J89" s="13" t="n">
        <f aca="false">IF(I89-E89 &lt;0,0,I89-E89)</f>
        <v>0</v>
      </c>
      <c r="K89" s="13" t="n">
        <v>16</v>
      </c>
      <c r="L89" s="7"/>
      <c r="M89" s="18"/>
    </row>
    <row r="90" customFormat="false" ht="23.25" hidden="false" customHeight="false" outlineLevel="0" collapsed="false">
      <c r="A90" s="13" t="n">
        <v>90</v>
      </c>
      <c r="B90" s="13"/>
      <c r="C90" s="13" t="n">
        <v>9550180680</v>
      </c>
      <c r="D90" s="14" t="s">
        <v>12</v>
      </c>
      <c r="E90" s="15" t="n">
        <f aca="false">K90-L90</f>
        <v>10</v>
      </c>
      <c r="F90" s="21"/>
      <c r="G90" s="22"/>
      <c r="H90" s="22"/>
      <c r="I90" s="13" t="n">
        <v>8</v>
      </c>
      <c r="J90" s="13" t="n">
        <f aca="false">IF(I90-E90 &lt;0,0,I90-E90)</f>
        <v>0</v>
      </c>
      <c r="K90" s="13" t="n">
        <v>11</v>
      </c>
      <c r="L90" s="7" t="n">
        <v>1</v>
      </c>
      <c r="M90" s="18"/>
    </row>
    <row r="91" customFormat="false" ht="23.25" hidden="false" customHeight="false" outlineLevel="0" collapsed="false">
      <c r="A91" s="13" t="n">
        <v>91</v>
      </c>
      <c r="B91" s="13"/>
      <c r="C91" s="13" t="n">
        <v>9562830030</v>
      </c>
      <c r="D91" s="13"/>
      <c r="E91" s="15" t="n">
        <f aca="false">K91-L91</f>
        <v>30</v>
      </c>
      <c r="F91" s="21"/>
      <c r="G91" s="22"/>
      <c r="H91" s="22"/>
      <c r="I91" s="13"/>
      <c r="J91" s="13" t="n">
        <f aca="false">IF(I91-E91 &lt;0,0,I91-E91)</f>
        <v>0</v>
      </c>
      <c r="K91" s="13" t="n">
        <v>30</v>
      </c>
      <c r="L91" s="7"/>
      <c r="M91" s="18"/>
    </row>
    <row r="92" customFormat="false" ht="23.25" hidden="false" customHeight="false" outlineLevel="0" collapsed="false">
      <c r="A92" s="13" t="n">
        <v>92</v>
      </c>
      <c r="B92" s="13"/>
      <c r="C92" s="13" t="n">
        <v>9562830040</v>
      </c>
      <c r="D92" s="24" t="s">
        <v>55</v>
      </c>
      <c r="E92" s="15" t="n">
        <f aca="false">K92-L92</f>
        <v>36</v>
      </c>
      <c r="F92" s="21"/>
      <c r="G92" s="22"/>
      <c r="H92" s="22"/>
      <c r="I92" s="13" t="n">
        <v>10</v>
      </c>
      <c r="J92" s="13" t="n">
        <f aca="false">IF(I92-E92 &lt;0,0,I92-E92)</f>
        <v>0</v>
      </c>
      <c r="K92" s="13" t="n">
        <v>36</v>
      </c>
      <c r="L92" s="7"/>
      <c r="M92" s="18"/>
    </row>
    <row r="93" customFormat="false" ht="23.25" hidden="false" customHeight="false" outlineLevel="0" collapsed="false">
      <c r="A93" s="13" t="n">
        <v>93</v>
      </c>
      <c r="B93" s="13"/>
      <c r="C93" s="13" t="n">
        <v>9562830050</v>
      </c>
      <c r="D93" s="24" t="s">
        <v>55</v>
      </c>
      <c r="E93" s="15" t="n">
        <f aca="false">K93-L93</f>
        <v>10</v>
      </c>
      <c r="F93" s="21"/>
      <c r="G93" s="22"/>
      <c r="H93" s="22"/>
      <c r="I93" s="13" t="n">
        <v>4</v>
      </c>
      <c r="J93" s="13" t="n">
        <f aca="false">IF(I93-E93 &lt;0,0,I93-E93)</f>
        <v>0</v>
      </c>
      <c r="K93" s="13" t="n">
        <v>11</v>
      </c>
      <c r="L93" s="7" t="n">
        <v>1</v>
      </c>
      <c r="M93" s="18"/>
    </row>
    <row r="94" customFormat="false" ht="23.25" hidden="false" customHeight="false" outlineLevel="0" collapsed="false">
      <c r="A94" s="13" t="n">
        <v>94</v>
      </c>
      <c r="B94" s="13"/>
      <c r="C94" s="13" t="n">
        <v>130110</v>
      </c>
      <c r="D94" s="30" t="s">
        <v>56</v>
      </c>
      <c r="E94" s="15" t="n">
        <f aca="false">K94-L94</f>
        <v>8</v>
      </c>
      <c r="F94" s="16" t="s">
        <v>57</v>
      </c>
      <c r="G94" s="17" t="n">
        <v>1</v>
      </c>
      <c r="H94" s="17" t="s">
        <v>58</v>
      </c>
      <c r="I94" s="13" t="n">
        <v>8</v>
      </c>
      <c r="J94" s="13" t="n">
        <f aca="false">IF(I94-E94 &lt;0,0,I94-E94)</f>
        <v>0</v>
      </c>
      <c r="K94" s="13" t="n">
        <v>8</v>
      </c>
      <c r="L94" s="7"/>
      <c r="M94" s="18"/>
      <c r="O94" s="31"/>
      <c r="P94" s="31"/>
      <c r="Q94" s="31"/>
      <c r="R94" s="31"/>
    </row>
    <row r="95" customFormat="false" ht="37.4" hidden="false" customHeight="false" outlineLevel="0" collapsed="false">
      <c r="A95" s="13" t="n">
        <v>95</v>
      </c>
      <c r="B95" s="13"/>
      <c r="C95" s="13" t="n">
        <v>130710</v>
      </c>
      <c r="D95" s="24" t="s">
        <v>59</v>
      </c>
      <c r="E95" s="15" t="n">
        <f aca="false">K95-L95</f>
        <v>26</v>
      </c>
      <c r="F95" s="21"/>
      <c r="G95" s="22"/>
      <c r="H95" s="22"/>
      <c r="I95" s="13" t="n">
        <v>8</v>
      </c>
      <c r="J95" s="13" t="n">
        <f aca="false">IF(I95-E95 &lt;0,0,I95-E95)</f>
        <v>0</v>
      </c>
      <c r="K95" s="13" t="n">
        <v>44</v>
      </c>
      <c r="L95" s="7" t="n">
        <v>18</v>
      </c>
      <c r="M95" s="18"/>
      <c r="O95" s="20" t="s">
        <v>16</v>
      </c>
      <c r="P95" s="20"/>
      <c r="Q95" s="20"/>
      <c r="R95" s="20"/>
    </row>
    <row r="96" customFormat="false" ht="37.4" hidden="false" customHeight="false" outlineLevel="0" collapsed="false">
      <c r="A96" s="13" t="n">
        <v>96</v>
      </c>
      <c r="B96" s="13"/>
      <c r="C96" s="13" t="s">
        <v>60</v>
      </c>
      <c r="D96" s="14" t="s">
        <v>35</v>
      </c>
      <c r="E96" s="15" t="n">
        <f aca="false">K96-L96</f>
        <v>62</v>
      </c>
      <c r="F96" s="16" t="s">
        <v>26</v>
      </c>
      <c r="G96" s="17" t="n">
        <v>1</v>
      </c>
      <c r="H96" s="17" t="n">
        <v>90</v>
      </c>
      <c r="I96" s="13" t="n">
        <v>32</v>
      </c>
      <c r="J96" s="13" t="n">
        <f aca="false">IF(I96-E96 &lt;0,0,I96-E96)</f>
        <v>0</v>
      </c>
      <c r="K96" s="13" t="n">
        <v>120</v>
      </c>
      <c r="L96" s="7" t="n">
        <v>58</v>
      </c>
      <c r="M96" s="18"/>
      <c r="O96" s="20" t="s">
        <v>17</v>
      </c>
      <c r="P96" s="20"/>
      <c r="Q96" s="20"/>
      <c r="R96" s="20"/>
    </row>
    <row r="97" customFormat="false" ht="37.4" hidden="false" customHeight="false" outlineLevel="0" collapsed="false">
      <c r="A97" s="13" t="n">
        <v>97</v>
      </c>
      <c r="B97" s="13"/>
      <c r="C97" s="13" t="n">
        <v>412710</v>
      </c>
      <c r="D97" s="24" t="s">
        <v>61</v>
      </c>
      <c r="E97" s="15" t="n">
        <f aca="false">K97-L97</f>
        <v>18</v>
      </c>
      <c r="F97" s="21"/>
      <c r="G97" s="22"/>
      <c r="H97" s="22"/>
      <c r="I97" s="13" t="n">
        <v>4</v>
      </c>
      <c r="J97" s="13" t="n">
        <f aca="false">IF(I97-E97 &lt;0,0,I97-E97)</f>
        <v>0</v>
      </c>
      <c r="K97" s="13" t="n">
        <v>23</v>
      </c>
      <c r="L97" s="7" t="n">
        <v>5</v>
      </c>
      <c r="M97" s="18"/>
      <c r="O97" s="20" t="s">
        <v>19</v>
      </c>
      <c r="P97" s="20"/>
      <c r="Q97" s="20"/>
      <c r="R97" s="20"/>
    </row>
    <row r="98" customFormat="false" ht="23.25" hidden="false" customHeight="false" outlineLevel="0" collapsed="false">
      <c r="A98" s="13" t="n">
        <v>98</v>
      </c>
      <c r="B98" s="13"/>
      <c r="C98" s="13" t="n">
        <v>450530</v>
      </c>
      <c r="D98" s="24" t="s">
        <v>62</v>
      </c>
      <c r="E98" s="15" t="n">
        <f aca="false">K98-L98</f>
        <v>6</v>
      </c>
      <c r="F98" s="21"/>
      <c r="G98" s="22"/>
      <c r="H98" s="22"/>
      <c r="I98" s="13" t="n">
        <v>4</v>
      </c>
      <c r="J98" s="13" t="n">
        <f aca="false">IF(I98-E98 &lt;0,0,I98-E98)</f>
        <v>0</v>
      </c>
      <c r="K98" s="13" t="n">
        <v>16</v>
      </c>
      <c r="L98" s="7" t="n">
        <v>10</v>
      </c>
      <c r="M98" s="18"/>
    </row>
    <row r="99" customFormat="false" ht="23.25" hidden="false" customHeight="false" outlineLevel="0" collapsed="false">
      <c r="A99" s="13" t="n">
        <v>99</v>
      </c>
      <c r="B99" s="13"/>
      <c r="C99" s="13" t="n">
        <v>298140210</v>
      </c>
      <c r="D99" s="13"/>
      <c r="E99" s="15" t="n">
        <f aca="false">K99-L99</f>
        <v>8</v>
      </c>
      <c r="F99" s="21"/>
      <c r="G99" s="22"/>
      <c r="H99" s="22"/>
      <c r="I99" s="13"/>
      <c r="J99" s="13" t="n">
        <f aca="false">IF(I99-E99 &lt;0,0,I99-E99)</f>
        <v>0</v>
      </c>
      <c r="K99" s="13" t="n">
        <v>8</v>
      </c>
      <c r="L99" s="7"/>
      <c r="M99" s="18"/>
    </row>
    <row r="100" customFormat="false" ht="23.25" hidden="false" customHeight="false" outlineLevel="0" collapsed="false">
      <c r="A100" s="13" t="n">
        <v>100</v>
      </c>
      <c r="B100" s="13"/>
      <c r="C100" s="13" t="n">
        <v>298530770</v>
      </c>
      <c r="D100" s="24" t="s">
        <v>63</v>
      </c>
      <c r="E100" s="15" t="n">
        <f aca="false">K100-L100</f>
        <v>4</v>
      </c>
      <c r="F100" s="21"/>
      <c r="G100" s="22"/>
      <c r="H100" s="22"/>
      <c r="I100" s="13" t="n">
        <v>2</v>
      </c>
      <c r="J100" s="13" t="n">
        <f aca="false">IF(I100-E100 &lt;0,0,I100-E100)</f>
        <v>0</v>
      </c>
      <c r="K100" s="13" t="n">
        <v>4</v>
      </c>
      <c r="L100" s="7"/>
      <c r="M100" s="18"/>
    </row>
    <row r="101" customFormat="false" ht="23.25" hidden="false" customHeight="false" outlineLevel="0" collapsed="false">
      <c r="A101" s="13" t="n">
        <v>101</v>
      </c>
      <c r="B101" s="13"/>
      <c r="C101" s="13" t="n">
        <v>130820</v>
      </c>
      <c r="D101" s="24" t="s">
        <v>64</v>
      </c>
      <c r="E101" s="15" t="n">
        <f aca="false">K101-L101</f>
        <v>20</v>
      </c>
      <c r="F101" s="21"/>
      <c r="G101" s="22"/>
      <c r="H101" s="22"/>
      <c r="I101" s="13" t="n">
        <v>8</v>
      </c>
      <c r="J101" s="13" t="n">
        <f aca="false">IF(I101-E101 &lt;0,0,I101-E101)</f>
        <v>0</v>
      </c>
      <c r="K101" s="13" t="n">
        <v>23</v>
      </c>
      <c r="L101" s="7" t="n">
        <v>3</v>
      </c>
      <c r="M101" s="18"/>
    </row>
    <row r="102" customFormat="false" ht="23.25" hidden="false" customHeight="false" outlineLevel="0" collapsed="false">
      <c r="A102" s="13" t="n">
        <v>102</v>
      </c>
      <c r="B102" s="13"/>
      <c r="C102" s="13" t="n">
        <v>301510010</v>
      </c>
      <c r="D102" s="13" t="s">
        <v>65</v>
      </c>
      <c r="E102" s="15" t="n">
        <f aca="false">K102-L102</f>
        <v>5</v>
      </c>
      <c r="F102" s="16" t="s">
        <v>66</v>
      </c>
      <c r="G102" s="17" t="n">
        <v>1</v>
      </c>
      <c r="H102" s="17" t="s">
        <v>67</v>
      </c>
      <c r="I102" s="13" t="n">
        <v>1</v>
      </c>
      <c r="J102" s="13" t="n">
        <f aca="false">IF(I102-E102 &lt;0,0,I102-E102)</f>
        <v>0</v>
      </c>
      <c r="K102" s="13" t="n">
        <v>5</v>
      </c>
      <c r="L102" s="7"/>
      <c r="M102" s="18"/>
    </row>
    <row r="103" customFormat="false" ht="23.25" hidden="false" customHeight="false" outlineLevel="0" collapsed="false">
      <c r="A103" s="13" t="n">
        <v>107</v>
      </c>
      <c r="B103" s="13"/>
      <c r="C103" s="13" t="n">
        <v>301510110</v>
      </c>
      <c r="D103" s="14" t="s">
        <v>39</v>
      </c>
      <c r="E103" s="15" t="n">
        <f aca="false">K103-L103</f>
        <v>34</v>
      </c>
      <c r="F103" s="21"/>
      <c r="G103" s="22"/>
      <c r="H103" s="22"/>
      <c r="I103" s="13" t="n">
        <v>4</v>
      </c>
      <c r="J103" s="13" t="n">
        <f aca="false">IF(I103-E103 &lt;0,0,I103-E103)</f>
        <v>0</v>
      </c>
      <c r="K103" s="13" t="n">
        <v>34</v>
      </c>
      <c r="L103" s="7"/>
      <c r="M103" s="18"/>
    </row>
    <row r="104" customFormat="false" ht="23.25" hidden="false" customHeight="false" outlineLevel="0" collapsed="false">
      <c r="A104" s="13" t="n">
        <v>109</v>
      </c>
      <c r="B104" s="13"/>
      <c r="C104" s="13" t="n">
        <v>301511010</v>
      </c>
      <c r="D104" s="14" t="s">
        <v>68</v>
      </c>
      <c r="E104" s="15" t="n">
        <f aca="false">K104-L104</f>
        <v>43</v>
      </c>
      <c r="F104" s="16" t="s">
        <v>66</v>
      </c>
      <c r="G104" s="17" t="n">
        <v>1</v>
      </c>
      <c r="H104" s="17" t="n">
        <v>130</v>
      </c>
      <c r="I104" s="13" t="n">
        <v>48</v>
      </c>
      <c r="J104" s="13" t="n">
        <f aca="false">IF(I104-E104 &lt;0,0,I104-E104)</f>
        <v>5</v>
      </c>
      <c r="K104" s="13" t="n">
        <v>43</v>
      </c>
      <c r="L104" s="7"/>
      <c r="M104" s="18"/>
    </row>
    <row r="105" customFormat="false" ht="23.25" hidden="false" customHeight="false" outlineLevel="0" collapsed="false">
      <c r="A105" s="13" t="n">
        <v>111</v>
      </c>
      <c r="B105" s="13"/>
      <c r="C105" s="13" t="n">
        <v>301540840</v>
      </c>
      <c r="D105" s="14" t="s">
        <v>35</v>
      </c>
      <c r="E105" s="15" t="n">
        <f aca="false">K105-L105</f>
        <v>11</v>
      </c>
      <c r="F105" s="21"/>
      <c r="G105" s="22"/>
      <c r="H105" s="22"/>
      <c r="I105" s="13" t="n">
        <v>6</v>
      </c>
      <c r="J105" s="13" t="n">
        <f aca="false">IF(I105-E105 &lt;0,0,I105-E105)</f>
        <v>0</v>
      </c>
      <c r="K105" s="13" t="n">
        <v>16</v>
      </c>
      <c r="L105" s="7" t="n">
        <v>5</v>
      </c>
      <c r="M105" s="18"/>
    </row>
    <row r="106" customFormat="false" ht="23.25" hidden="false" customHeight="false" outlineLevel="0" collapsed="false">
      <c r="A106" s="13" t="n">
        <v>112</v>
      </c>
      <c r="B106" s="13"/>
      <c r="C106" s="13" t="n">
        <v>301540850</v>
      </c>
      <c r="D106" s="14" t="s">
        <v>35</v>
      </c>
      <c r="E106" s="15" t="n">
        <f aca="false">K106-L106</f>
        <v>4</v>
      </c>
      <c r="F106" s="21"/>
      <c r="G106" s="22"/>
      <c r="H106" s="22"/>
      <c r="I106" s="13" t="n">
        <v>12</v>
      </c>
      <c r="J106" s="13" t="n">
        <f aca="false">IF(I106-E106 &lt;0,0,I106-E106)</f>
        <v>8</v>
      </c>
      <c r="K106" s="13" t="n">
        <v>14</v>
      </c>
      <c r="L106" s="7" t="n">
        <v>10</v>
      </c>
      <c r="M106" s="18"/>
    </row>
    <row r="107" customFormat="false" ht="23.25" hidden="false" customHeight="false" outlineLevel="0" collapsed="false">
      <c r="A107" s="13" t="n">
        <v>113</v>
      </c>
      <c r="B107" s="13"/>
      <c r="C107" s="13" t="n">
        <v>301540860</v>
      </c>
      <c r="D107" s="14" t="s">
        <v>35</v>
      </c>
      <c r="E107" s="15" t="n">
        <f aca="false">K107-L107</f>
        <v>9</v>
      </c>
      <c r="F107" s="21"/>
      <c r="G107" s="22"/>
      <c r="H107" s="22"/>
      <c r="I107" s="13" t="n">
        <v>12</v>
      </c>
      <c r="J107" s="13" t="n">
        <f aca="false">IF(I107-E107 &lt;0,0,I107-E107)</f>
        <v>3</v>
      </c>
      <c r="K107" s="13" t="n">
        <v>24</v>
      </c>
      <c r="L107" s="7" t="n">
        <v>15</v>
      </c>
      <c r="M107" s="18" t="n">
        <v>2</v>
      </c>
    </row>
    <row r="108" customFormat="false" ht="23.25" hidden="false" customHeight="false" outlineLevel="0" collapsed="false">
      <c r="A108" s="13" t="n">
        <v>114</v>
      </c>
      <c r="B108" s="13"/>
      <c r="C108" s="13" t="n">
        <v>319951240</v>
      </c>
      <c r="D108" s="13"/>
      <c r="E108" s="15" t="n">
        <f aca="false">K108-L108</f>
        <v>16</v>
      </c>
      <c r="F108" s="21"/>
      <c r="G108" s="22"/>
      <c r="H108" s="22"/>
      <c r="I108" s="13"/>
      <c r="J108" s="13" t="n">
        <f aca="false">IF(I108-E108 &lt;0,0,I108-E108)</f>
        <v>0</v>
      </c>
      <c r="K108" s="13" t="n">
        <v>16</v>
      </c>
      <c r="L108" s="7"/>
      <c r="M108" s="18"/>
    </row>
    <row r="109" customFormat="false" ht="23.25" hidden="false" customHeight="false" outlineLevel="0" collapsed="false">
      <c r="A109" s="13" t="n">
        <v>103</v>
      </c>
      <c r="B109" s="13" t="n">
        <v>104</v>
      </c>
      <c r="C109" s="13" t="n">
        <v>301510020</v>
      </c>
      <c r="D109" s="14" t="s">
        <v>39</v>
      </c>
      <c r="E109" s="15" t="n">
        <f aca="false">K109-L109</f>
        <v>19</v>
      </c>
      <c r="F109" s="21"/>
      <c r="G109" s="22"/>
      <c r="H109" s="22"/>
      <c r="I109" s="13" t="n">
        <v>2</v>
      </c>
      <c r="J109" s="13" t="n">
        <f aca="false">IF(I109-E109 &lt;0,0,I109-E109)</f>
        <v>0</v>
      </c>
      <c r="K109" s="13" t="n">
        <v>19</v>
      </c>
      <c r="L109" s="7"/>
      <c r="M109" s="18"/>
    </row>
    <row r="110" customFormat="false" ht="23.25" hidden="false" customHeight="false" outlineLevel="0" collapsed="false">
      <c r="A110" s="13" t="n">
        <v>105</v>
      </c>
      <c r="B110" s="13" t="n">
        <v>106</v>
      </c>
      <c r="C110" s="13" t="n">
        <v>301510100</v>
      </c>
      <c r="D110" s="14" t="s">
        <v>39</v>
      </c>
      <c r="E110" s="15" t="n">
        <f aca="false">K110-L110</f>
        <v>19</v>
      </c>
      <c r="F110" s="21"/>
      <c r="G110" s="22"/>
      <c r="H110" s="22"/>
      <c r="I110" s="13" t="n">
        <v>4</v>
      </c>
      <c r="J110" s="13" t="n">
        <f aca="false">IF(I110-E110 &lt;0,0,I110-E110)</f>
        <v>0</v>
      </c>
      <c r="K110" s="13" t="n">
        <v>19</v>
      </c>
      <c r="L110" s="7"/>
      <c r="M110" s="18"/>
    </row>
    <row r="111" customFormat="false" ht="23.25" hidden="false" customHeight="false" outlineLevel="0" collapsed="false">
      <c r="A111" s="13" t="n">
        <v>108</v>
      </c>
      <c r="B111" s="13" t="n">
        <v>110</v>
      </c>
      <c r="C111" s="13" t="n">
        <v>301510140</v>
      </c>
      <c r="D111" s="14" t="s">
        <v>39</v>
      </c>
      <c r="E111" s="15" t="n">
        <f aca="false">K111-L111</f>
        <v>20</v>
      </c>
      <c r="F111" s="21"/>
      <c r="G111" s="22"/>
      <c r="H111" s="22"/>
      <c r="I111" s="13" t="n">
        <v>8</v>
      </c>
      <c r="J111" s="13" t="n">
        <f aca="false">IF(I111-E111 &lt;0,0,I111-E111)</f>
        <v>0</v>
      </c>
      <c r="K111" s="13" t="n">
        <v>20</v>
      </c>
      <c r="L111" s="7"/>
      <c r="M111" s="18"/>
    </row>
    <row r="112" customFormat="false" ht="23.25" hidden="false" customHeight="false" outlineLevel="0" collapsed="false">
      <c r="A112" s="13" t="n">
        <v>115</v>
      </c>
      <c r="B112" s="13"/>
      <c r="C112" s="32" t="s">
        <v>69</v>
      </c>
      <c r="D112" s="13"/>
      <c r="E112" s="15" t="n">
        <f aca="false">K112-L112</f>
        <v>23</v>
      </c>
      <c r="F112" s="21"/>
      <c r="G112" s="22"/>
      <c r="H112" s="22"/>
      <c r="I112" s="13"/>
      <c r="J112" s="13" t="n">
        <f aca="false">IF(I112-E112 &lt;0,0,I112-E112)</f>
        <v>0</v>
      </c>
      <c r="K112" s="13" t="n">
        <v>23</v>
      </c>
      <c r="L112" s="7"/>
      <c r="M112" s="18"/>
    </row>
    <row r="113" customFormat="false" ht="23.25" hidden="false" customHeight="false" outlineLevel="0" collapsed="false">
      <c r="A113" s="13" t="n">
        <v>115</v>
      </c>
      <c r="B113" s="13"/>
      <c r="C113" s="33" t="s">
        <v>70</v>
      </c>
      <c r="D113" s="13"/>
      <c r="E113" s="15" t="n">
        <f aca="false">K113-L113</f>
        <v>44</v>
      </c>
      <c r="F113" s="21"/>
      <c r="G113" s="22"/>
      <c r="H113" s="22"/>
      <c r="I113" s="13"/>
      <c r="J113" s="13" t="n">
        <f aca="false">IF(I113-E113 &lt;0,0,I113-E113)</f>
        <v>0</v>
      </c>
      <c r="K113" s="13" t="n">
        <v>44</v>
      </c>
      <c r="L113" s="7"/>
      <c r="M113" s="18"/>
    </row>
    <row r="114" customFormat="false" ht="23.25" hidden="false" customHeight="false" outlineLevel="0" collapsed="false">
      <c r="A114" s="13" t="n">
        <v>74</v>
      </c>
      <c r="B114" s="13"/>
      <c r="C114" s="13" t="s">
        <v>71</v>
      </c>
      <c r="D114" s="14" t="s">
        <v>72</v>
      </c>
      <c r="E114" s="15" t="n">
        <f aca="false">K114-L114</f>
        <v>6</v>
      </c>
      <c r="F114" s="16" t="s">
        <v>26</v>
      </c>
      <c r="G114" s="17" t="n">
        <v>1</v>
      </c>
      <c r="H114" s="17" t="n">
        <v>70</v>
      </c>
      <c r="I114" s="13" t="n">
        <v>4</v>
      </c>
      <c r="J114" s="13" t="n">
        <f aca="false">IF(I114-E114 &lt;0,0,I114-E114)</f>
        <v>0</v>
      </c>
      <c r="K114" s="13" t="n">
        <v>8</v>
      </c>
      <c r="L114" s="7" t="n">
        <v>2</v>
      </c>
      <c r="M114" s="18"/>
    </row>
    <row r="115" customFormat="false" ht="23.25" hidden="false" customHeight="false" outlineLevel="0" collapsed="false">
      <c r="A115" s="13" t="n">
        <v>116</v>
      </c>
      <c r="B115" s="13"/>
      <c r="C115" s="13" t="n">
        <v>301537420</v>
      </c>
      <c r="D115" s="13"/>
      <c r="E115" s="15" t="n">
        <f aca="false">K115-L115</f>
        <v>3</v>
      </c>
      <c r="F115" s="21"/>
      <c r="G115" s="22"/>
      <c r="H115" s="22"/>
      <c r="I115" s="13"/>
      <c r="J115" s="13" t="n">
        <f aca="false">IF(I115-E115 &lt;0,0,I115-E115)</f>
        <v>0</v>
      </c>
      <c r="K115" s="13" t="n">
        <v>3</v>
      </c>
      <c r="L115" s="7"/>
      <c r="M115" s="18"/>
    </row>
    <row r="116" customFormat="false" ht="23.25" hidden="false" customHeight="false" outlineLevel="0" collapsed="false">
      <c r="A116" s="13"/>
      <c r="B116" s="13"/>
      <c r="C116" s="13" t="s">
        <v>73</v>
      </c>
      <c r="D116" s="24" t="s">
        <v>74</v>
      </c>
      <c r="E116" s="15" t="n">
        <f aca="false">K116-L116</f>
        <v>0</v>
      </c>
      <c r="F116" s="16" t="s">
        <v>75</v>
      </c>
      <c r="G116" s="17" t="n">
        <v>1</v>
      </c>
      <c r="H116" s="17" t="s">
        <v>76</v>
      </c>
      <c r="I116" s="13" t="n">
        <v>2</v>
      </c>
      <c r="J116" s="13" t="n">
        <f aca="false">IF(I116-E116 &lt;0,0,I116-E116)</f>
        <v>2</v>
      </c>
      <c r="K116" s="13"/>
      <c r="L116" s="7"/>
      <c r="M116" s="18"/>
    </row>
    <row r="117" customFormat="false" ht="23.25" hidden="false" customHeight="false" outlineLevel="0" collapsed="false">
      <c r="A117" s="13" t="n">
        <v>117</v>
      </c>
      <c r="B117" s="13"/>
      <c r="C117" s="13" t="n">
        <v>298910020</v>
      </c>
      <c r="D117" s="13"/>
      <c r="E117" s="15" t="n">
        <f aca="false">K117-L117</f>
        <v>3</v>
      </c>
      <c r="F117" s="21"/>
      <c r="G117" s="22"/>
      <c r="H117" s="22"/>
      <c r="I117" s="13"/>
      <c r="J117" s="13" t="n">
        <f aca="false">IF(I117-E117 &lt;0,0,I117-E117)</f>
        <v>0</v>
      </c>
      <c r="K117" s="13" t="n">
        <v>3</v>
      </c>
      <c r="L117" s="7"/>
      <c r="M117" s="18"/>
    </row>
    <row r="118" customFormat="false" ht="23.25" hidden="false" customHeight="false" outlineLevel="0" collapsed="false">
      <c r="A118" s="13" t="n">
        <v>5</v>
      </c>
      <c r="B118" s="13" t="n">
        <v>14</v>
      </c>
      <c r="C118" s="13" t="s">
        <v>77</v>
      </c>
      <c r="D118" s="14" t="s">
        <v>78</v>
      </c>
      <c r="E118" s="15" t="n">
        <f aca="false">K118-L118</f>
        <v>6</v>
      </c>
      <c r="F118" s="16" t="s">
        <v>79</v>
      </c>
      <c r="G118" s="17" t="n">
        <v>1</v>
      </c>
      <c r="H118" s="17" t="s">
        <v>80</v>
      </c>
      <c r="I118" s="13" t="n">
        <v>4</v>
      </c>
      <c r="J118" s="13" t="n">
        <f aca="false">IF(I118-E118 &lt;0,0,I118-E118)</f>
        <v>0</v>
      </c>
      <c r="K118" s="13" t="n">
        <v>6</v>
      </c>
      <c r="L118" s="7"/>
      <c r="M118" s="18"/>
    </row>
    <row r="119" customFormat="false" ht="23.25" hidden="false" customHeight="false" outlineLevel="0" collapsed="false">
      <c r="A119" s="13" t="n">
        <v>73</v>
      </c>
      <c r="B119" s="13"/>
      <c r="C119" s="13" t="n">
        <v>9550103520</v>
      </c>
      <c r="D119" s="14" t="s">
        <v>48</v>
      </c>
      <c r="E119" s="15" t="n">
        <f aca="false">K119-L119</f>
        <v>4</v>
      </c>
      <c r="F119" s="21"/>
      <c r="G119" s="22"/>
      <c r="H119" s="22"/>
      <c r="I119" s="13" t="n">
        <v>4</v>
      </c>
      <c r="J119" s="13" t="n">
        <f aca="false">IF(I119-E119 &lt;0,0,I119-E119)</f>
        <v>0</v>
      </c>
      <c r="K119" s="13" t="n">
        <v>4</v>
      </c>
      <c r="L119" s="7"/>
      <c r="M119" s="18"/>
    </row>
    <row r="120" customFormat="false" ht="23.25" hidden="false" customHeight="false" outlineLevel="0" collapsed="false">
      <c r="A120" s="13" t="n">
        <v>80</v>
      </c>
      <c r="B120" s="13" t="n">
        <v>1</v>
      </c>
      <c r="C120" s="13" t="s">
        <v>81</v>
      </c>
      <c r="D120" s="14" t="s">
        <v>82</v>
      </c>
      <c r="E120" s="15" t="n">
        <f aca="false">K120-L120</f>
        <v>5</v>
      </c>
      <c r="F120" s="16" t="s">
        <v>26</v>
      </c>
      <c r="G120" s="17" t="n">
        <v>1</v>
      </c>
      <c r="H120" s="17" t="s">
        <v>83</v>
      </c>
      <c r="I120" s="13" t="n">
        <v>32</v>
      </c>
      <c r="J120" s="13" t="n">
        <f aca="false">IF(I120-E120 &lt;0,0,I120-E120)</f>
        <v>27</v>
      </c>
      <c r="K120" s="13" t="n">
        <v>5</v>
      </c>
      <c r="L120" s="7"/>
      <c r="M120" s="18"/>
    </row>
    <row r="121" customFormat="false" ht="23.25" hidden="false" customHeight="false" outlineLevel="0" collapsed="false">
      <c r="A121" s="13" t="n">
        <v>101</v>
      </c>
      <c r="B121" s="13"/>
      <c r="C121" s="13" t="n">
        <v>298560010</v>
      </c>
      <c r="D121" s="13"/>
      <c r="E121" s="15" t="n">
        <f aca="false">K121-L121</f>
        <v>19</v>
      </c>
      <c r="F121" s="21"/>
      <c r="G121" s="22"/>
      <c r="H121" s="22"/>
      <c r="I121" s="13"/>
      <c r="J121" s="13" t="n">
        <f aca="false">IF(I121-E121 &lt;0,0,I121-E121)</f>
        <v>0</v>
      </c>
      <c r="K121" s="13" t="n">
        <v>25</v>
      </c>
      <c r="L121" s="7" t="n">
        <v>6</v>
      </c>
      <c r="M121" s="18"/>
    </row>
    <row r="122" customFormat="false" ht="23.25" hidden="false" customHeight="false" outlineLevel="0" collapsed="false">
      <c r="A122" s="13" t="n">
        <v>74</v>
      </c>
      <c r="B122" s="13"/>
      <c r="C122" s="13" t="n">
        <v>9562830010</v>
      </c>
      <c r="D122" s="13"/>
      <c r="E122" s="15" t="n">
        <f aca="false">K122-L122</f>
        <v>6</v>
      </c>
      <c r="F122" s="21"/>
      <c r="G122" s="22"/>
      <c r="H122" s="22"/>
      <c r="I122" s="13"/>
      <c r="J122" s="13" t="n">
        <f aca="false">IF(I122-E122 &lt;0,0,I122-E122)</f>
        <v>0</v>
      </c>
      <c r="K122" s="13" t="n">
        <v>6</v>
      </c>
      <c r="L122" s="7"/>
      <c r="M122" s="18"/>
    </row>
    <row r="123" customFormat="false" ht="23.25" hidden="false" customHeight="false" outlineLevel="0" collapsed="false">
      <c r="A123" s="13" t="n">
        <v>79</v>
      </c>
      <c r="B123" s="13" t="n">
        <v>22</v>
      </c>
      <c r="C123" s="13" t="n">
        <v>333767010</v>
      </c>
      <c r="D123" s="24" t="s">
        <v>84</v>
      </c>
      <c r="E123" s="15" t="n">
        <f aca="false">K123-L123</f>
        <v>13</v>
      </c>
      <c r="F123" s="16" t="n">
        <v>36886</v>
      </c>
      <c r="G123" s="17" t="n">
        <v>1</v>
      </c>
      <c r="H123" s="17" t="n">
        <v>38</v>
      </c>
      <c r="I123" s="13" t="n">
        <v>4</v>
      </c>
      <c r="J123" s="13" t="n">
        <f aca="false">IF(I123-E123 &lt;0,0,I123-E123)</f>
        <v>0</v>
      </c>
      <c r="K123" s="13" t="n">
        <v>13</v>
      </c>
      <c r="L123" s="7"/>
      <c r="M123" s="18"/>
    </row>
    <row r="124" customFormat="false" ht="23.25" hidden="false" customHeight="false" outlineLevel="0" collapsed="false">
      <c r="A124" s="13"/>
      <c r="B124" s="13"/>
      <c r="C124" s="13" t="n">
        <v>9560133940</v>
      </c>
      <c r="D124" s="24" t="s">
        <v>85</v>
      </c>
      <c r="E124" s="15" t="n">
        <f aca="false">K124-L124</f>
        <v>28</v>
      </c>
      <c r="F124" s="16" t="s">
        <v>86</v>
      </c>
      <c r="G124" s="17" t="n">
        <v>1</v>
      </c>
      <c r="H124" s="17" t="n">
        <v>112</v>
      </c>
      <c r="I124" s="13" t="n">
        <v>32</v>
      </c>
      <c r="J124" s="13" t="n">
        <f aca="false">IF(I124-E124 &lt;0,0,I124-E124)</f>
        <v>4</v>
      </c>
      <c r="K124" s="13" t="n">
        <v>30</v>
      </c>
      <c r="L124" s="7" t="n">
        <v>2</v>
      </c>
      <c r="M124" s="18"/>
    </row>
    <row r="125" customFormat="false" ht="23.25" hidden="false" customHeight="false" outlineLevel="0" collapsed="false">
      <c r="A125" s="34" t="n">
        <v>79</v>
      </c>
      <c r="B125" s="34" t="n">
        <v>6</v>
      </c>
      <c r="C125" s="13" t="n">
        <v>9562811300</v>
      </c>
      <c r="D125" s="24" t="s">
        <v>55</v>
      </c>
      <c r="E125" s="15" t="n">
        <f aca="false">K125-L125</f>
        <v>12</v>
      </c>
      <c r="F125" s="16" t="s">
        <v>87</v>
      </c>
      <c r="G125" s="17" t="n">
        <v>1</v>
      </c>
      <c r="H125" s="17" t="s">
        <v>88</v>
      </c>
      <c r="I125" s="13" t="n">
        <v>4</v>
      </c>
      <c r="J125" s="13" t="n">
        <f aca="false">IF(I125-E125 &lt;0,0,I125-E125)</f>
        <v>0</v>
      </c>
      <c r="K125" s="13" t="n">
        <v>12</v>
      </c>
      <c r="L125" s="7"/>
      <c r="M125" s="18"/>
    </row>
    <row r="126" customFormat="false" ht="23.25" hidden="false" customHeight="false" outlineLevel="0" collapsed="false">
      <c r="A126" s="13" t="n">
        <v>118</v>
      </c>
      <c r="B126" s="13"/>
      <c r="C126" s="13" t="n">
        <v>390757360</v>
      </c>
      <c r="D126" s="24" t="s">
        <v>89</v>
      </c>
      <c r="E126" s="15" t="n">
        <f aca="false">K126-L126</f>
        <v>12</v>
      </c>
      <c r="F126" s="16" t="n">
        <v>36856</v>
      </c>
      <c r="G126" s="17" t="n">
        <v>1</v>
      </c>
      <c r="H126" s="17" t="n">
        <v>30</v>
      </c>
      <c r="I126" s="13" t="n">
        <v>4</v>
      </c>
      <c r="J126" s="13" t="n">
        <f aca="false">IF(I126-E126 &lt;0,0,I126-E126)</f>
        <v>0</v>
      </c>
      <c r="K126" s="13" t="n">
        <v>12</v>
      </c>
      <c r="L126" s="7"/>
      <c r="M126" s="18"/>
    </row>
    <row r="127" customFormat="false" ht="23.25" hidden="false" customHeight="false" outlineLevel="0" collapsed="false">
      <c r="A127" s="13" t="n">
        <v>79</v>
      </c>
      <c r="B127" s="13" t="n">
        <v>5</v>
      </c>
      <c r="C127" s="13" t="s">
        <v>90</v>
      </c>
      <c r="D127" s="24" t="s">
        <v>61</v>
      </c>
      <c r="E127" s="15" t="n">
        <f aca="false">K127-L127</f>
        <v>26</v>
      </c>
      <c r="F127" s="16" t="s">
        <v>31</v>
      </c>
      <c r="G127" s="17" t="n">
        <v>1</v>
      </c>
      <c r="H127" s="17" t="n">
        <v>76</v>
      </c>
      <c r="I127" s="13" t="n">
        <v>8</v>
      </c>
      <c r="J127" s="13" t="n">
        <f aca="false">IF(I127-E127 &lt;0,0,I127-E127)</f>
        <v>0</v>
      </c>
      <c r="K127" s="13" t="n">
        <v>31</v>
      </c>
      <c r="L127" s="7" t="n">
        <v>5</v>
      </c>
      <c r="M127" s="18"/>
    </row>
    <row r="128" customFormat="false" ht="23.25" hidden="false" customHeight="false" outlineLevel="0" collapsed="false">
      <c r="A128" s="13" t="n">
        <v>79</v>
      </c>
      <c r="B128" s="13" t="n">
        <v>21</v>
      </c>
      <c r="C128" s="13" t="n">
        <v>301000850</v>
      </c>
      <c r="D128" s="24" t="s">
        <v>91</v>
      </c>
      <c r="E128" s="15" t="n">
        <f aca="false">K128-L128</f>
        <v>8</v>
      </c>
      <c r="F128" s="16" t="s">
        <v>92</v>
      </c>
      <c r="G128" s="17" t="n">
        <v>1</v>
      </c>
      <c r="H128" s="17" t="n">
        <v>120</v>
      </c>
      <c r="I128" s="13" t="n">
        <v>2</v>
      </c>
      <c r="J128" s="13" t="n">
        <f aca="false">IF(I128-E128 &lt;0,0,I128-E128)</f>
        <v>0</v>
      </c>
      <c r="K128" s="13" t="n">
        <v>8</v>
      </c>
      <c r="L128" s="7"/>
      <c r="M128" s="18"/>
    </row>
    <row r="129" customFormat="false" ht="23.25" hidden="false" customHeight="false" outlineLevel="0" collapsed="false">
      <c r="A129" s="34" t="n">
        <v>79</v>
      </c>
      <c r="B129" s="34" t="n">
        <v>31</v>
      </c>
      <c r="C129" s="35" t="n">
        <v>412640</v>
      </c>
      <c r="D129" s="36" t="s">
        <v>93</v>
      </c>
      <c r="E129" s="15" t="n">
        <f aca="false">K129-L129</f>
        <v>9</v>
      </c>
      <c r="F129" s="37" t="s">
        <v>94</v>
      </c>
      <c r="G129" s="38" t="n">
        <v>2</v>
      </c>
      <c r="H129" s="38" t="n">
        <v>50</v>
      </c>
      <c r="I129" s="38" t="n">
        <v>6</v>
      </c>
      <c r="J129" s="13" t="n">
        <f aca="false">IF(I129-E129 &lt;0,0,I129-E129)</f>
        <v>0</v>
      </c>
      <c r="K129" s="39" t="n">
        <v>9</v>
      </c>
      <c r="L129" s="7"/>
      <c r="M129" s="18"/>
    </row>
    <row r="130" customFormat="false" ht="23.25" hidden="false" customHeight="false" outlineLevel="0" collapsed="false">
      <c r="A130" s="34" t="n">
        <v>79</v>
      </c>
      <c r="B130" s="34" t="n">
        <v>29</v>
      </c>
      <c r="C130" s="35" t="s">
        <v>95</v>
      </c>
      <c r="D130" s="40" t="s">
        <v>96</v>
      </c>
      <c r="E130" s="15" t="n">
        <f aca="false">K130-L130</f>
        <v>9</v>
      </c>
      <c r="F130" s="41" t="n">
        <v>4</v>
      </c>
      <c r="G130" s="35"/>
      <c r="H130" s="35"/>
      <c r="I130" s="35" t="n">
        <v>4</v>
      </c>
      <c r="J130" s="13" t="n">
        <f aca="false">IF(I130-E130 &lt;0,0,I130-E130)</f>
        <v>0</v>
      </c>
      <c r="K130" s="13" t="n">
        <v>9</v>
      </c>
      <c r="L130" s="7"/>
      <c r="M130" s="18"/>
    </row>
    <row r="131" customFormat="false" ht="23.25" hidden="false" customHeight="false" outlineLevel="0" collapsed="false">
      <c r="A131" s="34" t="n">
        <v>79</v>
      </c>
      <c r="B131" s="34" t="n">
        <v>10</v>
      </c>
      <c r="C131" s="38" t="n">
        <v>301530050</v>
      </c>
      <c r="D131" s="36" t="s">
        <v>97</v>
      </c>
      <c r="E131" s="15" t="n">
        <f aca="false">K131-L131</f>
        <v>4</v>
      </c>
      <c r="F131" s="37" t="n">
        <v>4</v>
      </c>
      <c r="G131" s="38"/>
      <c r="H131" s="38"/>
      <c r="I131" s="38" t="n">
        <v>4</v>
      </c>
      <c r="J131" s="13" t="n">
        <f aca="false">IF(I131-E131 &lt;0,0,I131-E131)</f>
        <v>0</v>
      </c>
      <c r="K131" s="39" t="n">
        <v>4</v>
      </c>
      <c r="L131" s="7"/>
      <c r="M131" s="18"/>
    </row>
    <row r="132" customFormat="false" ht="23.25" hidden="false" customHeight="false" outlineLevel="0" collapsed="false">
      <c r="A132" s="34" t="n">
        <v>79</v>
      </c>
      <c r="B132" s="34" t="n">
        <v>9</v>
      </c>
      <c r="C132" s="38" t="n">
        <v>301530060</v>
      </c>
      <c r="D132" s="36" t="s">
        <v>97</v>
      </c>
      <c r="E132" s="15" t="n">
        <f aca="false">K132-L132</f>
        <v>4</v>
      </c>
      <c r="F132" s="37" t="n">
        <v>4</v>
      </c>
      <c r="G132" s="38"/>
      <c r="H132" s="38"/>
      <c r="I132" s="38" t="n">
        <v>4</v>
      </c>
      <c r="J132" s="13" t="n">
        <f aca="false">IF(I132-E132 &lt;0,0,I132-E132)</f>
        <v>0</v>
      </c>
      <c r="K132" s="39" t="n">
        <v>4</v>
      </c>
      <c r="L132" s="7"/>
      <c r="M132" s="18"/>
    </row>
    <row r="133" customFormat="false" ht="23.25" hidden="false" customHeight="false" outlineLevel="0" collapsed="false">
      <c r="A133" s="34" t="n">
        <v>79</v>
      </c>
      <c r="B133" s="34" t="n">
        <v>14</v>
      </c>
      <c r="C133" s="38" t="n">
        <v>301530070</v>
      </c>
      <c r="D133" s="36" t="s">
        <v>97</v>
      </c>
      <c r="E133" s="15" t="n">
        <f aca="false">K133-L133</f>
        <v>4</v>
      </c>
      <c r="F133" s="37" t="n">
        <v>4</v>
      </c>
      <c r="G133" s="38"/>
      <c r="H133" s="38"/>
      <c r="I133" s="38" t="n">
        <v>4</v>
      </c>
      <c r="J133" s="13" t="n">
        <f aca="false">IF(I133-E133 &lt;0,0,I133-E133)</f>
        <v>0</v>
      </c>
      <c r="K133" s="39" t="n">
        <v>4</v>
      </c>
      <c r="L133" s="7"/>
      <c r="M133" s="18"/>
    </row>
    <row r="134" customFormat="false" ht="23.25" hidden="false" customHeight="false" outlineLevel="0" collapsed="false">
      <c r="A134" s="34" t="n">
        <v>79</v>
      </c>
      <c r="B134" s="34" t="n">
        <v>13</v>
      </c>
      <c r="C134" s="38" t="n">
        <v>301530080</v>
      </c>
      <c r="D134" s="36" t="s">
        <v>97</v>
      </c>
      <c r="E134" s="15" t="n">
        <f aca="false">K134-L134</f>
        <v>4</v>
      </c>
      <c r="F134" s="37" t="n">
        <v>4</v>
      </c>
      <c r="G134" s="38"/>
      <c r="H134" s="38"/>
      <c r="I134" s="38" t="n">
        <v>4</v>
      </c>
      <c r="J134" s="13" t="n">
        <f aca="false">IF(I134-E134 &lt;0,0,I134-E134)</f>
        <v>0</v>
      </c>
      <c r="K134" s="39" t="n">
        <v>4</v>
      </c>
      <c r="L134" s="7"/>
      <c r="M134" s="18"/>
    </row>
    <row r="135" customFormat="false" ht="23.25" hidden="false" customHeight="false" outlineLevel="0" collapsed="false">
      <c r="A135" s="34" t="n">
        <v>79</v>
      </c>
      <c r="B135" s="34" t="n">
        <v>18</v>
      </c>
      <c r="C135" s="38" t="n">
        <v>301530090</v>
      </c>
      <c r="D135" s="36" t="s">
        <v>98</v>
      </c>
      <c r="E135" s="15" t="n">
        <f aca="false">K135-L135</f>
        <v>22</v>
      </c>
      <c r="F135" s="37" t="s">
        <v>99</v>
      </c>
      <c r="G135" s="38" t="n">
        <v>1</v>
      </c>
      <c r="H135" s="38" t="s">
        <v>100</v>
      </c>
      <c r="I135" s="38" t="n">
        <v>16</v>
      </c>
      <c r="J135" s="13" t="n">
        <f aca="false">IF(I135-E135 &lt;0,0,I135-E135)</f>
        <v>0</v>
      </c>
      <c r="K135" s="39" t="n">
        <v>22</v>
      </c>
      <c r="L135" s="7"/>
      <c r="M135" s="18"/>
    </row>
    <row r="136" customFormat="false" ht="23.25" hidden="false" customHeight="false" outlineLevel="0" collapsed="false">
      <c r="A136" s="34" t="n">
        <v>79</v>
      </c>
      <c r="B136" s="34"/>
      <c r="C136" s="35" t="s">
        <v>101</v>
      </c>
      <c r="D136" s="36" t="s">
        <v>102</v>
      </c>
      <c r="E136" s="15" t="n">
        <f aca="false">K136-L136</f>
        <v>10</v>
      </c>
      <c r="F136" s="37" t="n">
        <v>4</v>
      </c>
      <c r="G136" s="38"/>
      <c r="H136" s="38"/>
      <c r="I136" s="38" t="n">
        <v>4</v>
      </c>
      <c r="J136" s="13" t="n">
        <f aca="false">IF(I136-E136 &lt;0,0,I136-E136)</f>
        <v>0</v>
      </c>
      <c r="K136" s="39" t="n">
        <v>10</v>
      </c>
      <c r="L136" s="7"/>
      <c r="M136" s="18"/>
    </row>
    <row r="137" customFormat="false" ht="23.25" hidden="false" customHeight="false" outlineLevel="0" collapsed="false">
      <c r="A137" s="34" t="n">
        <v>79</v>
      </c>
      <c r="B137" s="34" t="n">
        <v>12</v>
      </c>
      <c r="C137" s="35" t="s">
        <v>103</v>
      </c>
      <c r="D137" s="36" t="s">
        <v>104</v>
      </c>
      <c r="E137" s="15" t="n">
        <f aca="false">K137-L137</f>
        <v>4</v>
      </c>
      <c r="F137" s="37" t="n">
        <v>4</v>
      </c>
      <c r="G137" s="38"/>
      <c r="H137" s="38"/>
      <c r="I137" s="38" t="n">
        <v>4</v>
      </c>
      <c r="J137" s="13" t="n">
        <f aca="false">IF(I137-E137 &lt;0,0,I137-E137)</f>
        <v>0</v>
      </c>
      <c r="K137" s="39" t="n">
        <v>4</v>
      </c>
      <c r="L137" s="7"/>
      <c r="M137" s="18"/>
    </row>
    <row r="138" customFormat="false" ht="23.25" hidden="false" customHeight="false" outlineLevel="0" collapsed="false">
      <c r="A138" s="13" t="n">
        <v>79</v>
      </c>
      <c r="B138" s="13" t="n">
        <v>30</v>
      </c>
      <c r="C138" s="35" t="n">
        <v>9298910010</v>
      </c>
      <c r="D138" s="40" t="s">
        <v>105</v>
      </c>
      <c r="E138" s="15" t="n">
        <f aca="false">K138-L138</f>
        <v>6</v>
      </c>
      <c r="F138" s="41" t="n">
        <v>8</v>
      </c>
      <c r="G138" s="35"/>
      <c r="H138" s="35"/>
      <c r="I138" s="35" t="n">
        <v>8</v>
      </c>
      <c r="J138" s="13" t="n">
        <f aca="false">IF(I138-E138 &lt;0,0,I138-E138)</f>
        <v>2</v>
      </c>
      <c r="K138" s="39" t="n">
        <v>9</v>
      </c>
      <c r="L138" s="7" t="n">
        <v>3</v>
      </c>
      <c r="M138" s="18"/>
    </row>
    <row r="139" customFormat="false" ht="23.25" hidden="false" customHeight="false" outlineLevel="0" collapsed="false">
      <c r="A139" s="34"/>
      <c r="B139" s="34"/>
      <c r="C139" s="35" t="s">
        <v>106</v>
      </c>
      <c r="D139" s="40" t="s">
        <v>107</v>
      </c>
      <c r="E139" s="15" t="n">
        <f aca="false">K139-L139</f>
        <v>0</v>
      </c>
      <c r="F139" s="41" t="s">
        <v>108</v>
      </c>
      <c r="G139" s="35" t="n">
        <v>1</v>
      </c>
      <c r="H139" s="35" t="n">
        <v>300</v>
      </c>
      <c r="I139" s="35" t="n">
        <v>16</v>
      </c>
      <c r="J139" s="13" t="n">
        <f aca="false">IF(I139-E139 &lt;0,0,I139-E139)</f>
        <v>16</v>
      </c>
      <c r="K139" s="39" t="n">
        <v>0</v>
      </c>
      <c r="L139" s="7"/>
      <c r="M139" s="18"/>
    </row>
    <row r="140" customFormat="false" ht="23.25" hidden="false" customHeight="false" outlineLevel="0" collapsed="false">
      <c r="A140" s="13" t="n">
        <v>79</v>
      </c>
      <c r="B140" s="13" t="n">
        <v>8</v>
      </c>
      <c r="C140" s="35" t="s">
        <v>109</v>
      </c>
      <c r="D140" s="36" t="s">
        <v>110</v>
      </c>
      <c r="E140" s="15" t="n">
        <f aca="false">K140-L140</f>
        <v>14</v>
      </c>
      <c r="F140" s="37" t="n">
        <v>10</v>
      </c>
      <c r="G140" s="38"/>
      <c r="H140" s="38"/>
      <c r="I140" s="38" t="n">
        <v>12</v>
      </c>
      <c r="J140" s="13" t="n">
        <f aca="false">IF(I140-E140 &lt;0,0,I140-E140)</f>
        <v>0</v>
      </c>
      <c r="K140" s="39" t="n">
        <v>14</v>
      </c>
      <c r="L140" s="7"/>
      <c r="M140" s="18"/>
    </row>
    <row r="141" customFormat="false" ht="37.4" hidden="false" customHeight="false" outlineLevel="0" collapsed="false">
      <c r="A141" s="34"/>
      <c r="B141" s="34"/>
      <c r="C141" s="35" t="s">
        <v>111</v>
      </c>
      <c r="D141" s="36" t="s">
        <v>112</v>
      </c>
      <c r="E141" s="15" t="n">
        <f aca="false">K141-L141</f>
        <v>0</v>
      </c>
      <c r="F141" s="37" t="s">
        <v>113</v>
      </c>
      <c r="G141" s="38" t="n">
        <v>1</v>
      </c>
      <c r="H141" s="38" t="n">
        <v>56</v>
      </c>
      <c r="I141" s="38" t="n">
        <v>14</v>
      </c>
      <c r="J141" s="13" t="n">
        <f aca="false">IF(I141-E141 &lt;0,0,I141-E141)</f>
        <v>14</v>
      </c>
      <c r="K141" s="39" t="n">
        <v>0</v>
      </c>
      <c r="L141" s="7"/>
      <c r="M141" s="18"/>
      <c r="P141" s="20" t="s">
        <v>16</v>
      </c>
      <c r="Q141" s="20"/>
      <c r="R141" s="20"/>
      <c r="S141" s="20"/>
    </row>
    <row r="142" customFormat="false" ht="37.4" hidden="false" customHeight="false" outlineLevel="0" collapsed="false">
      <c r="A142" s="13" t="n">
        <v>10</v>
      </c>
      <c r="B142" s="13" t="n">
        <v>11</v>
      </c>
      <c r="C142" s="38" t="s">
        <v>114</v>
      </c>
      <c r="D142" s="36" t="s">
        <v>115</v>
      </c>
      <c r="E142" s="15" t="n">
        <f aca="false">K142-L142</f>
        <v>11</v>
      </c>
      <c r="F142" s="37" t="n">
        <v>2</v>
      </c>
      <c r="G142" s="38"/>
      <c r="H142" s="38"/>
      <c r="I142" s="38" t="n">
        <v>2</v>
      </c>
      <c r="J142" s="13" t="n">
        <f aca="false">IF(I142-E142 &lt;0,0,I142-E142)</f>
        <v>0</v>
      </c>
      <c r="K142" s="39" t="n">
        <v>12</v>
      </c>
      <c r="L142" s="7" t="n">
        <v>1</v>
      </c>
      <c r="M142" s="18"/>
      <c r="P142" s="20" t="s">
        <v>17</v>
      </c>
      <c r="Q142" s="20"/>
      <c r="R142" s="20"/>
      <c r="S142" s="20"/>
    </row>
    <row r="143" customFormat="false" ht="37.4" hidden="false" customHeight="false" outlineLevel="0" collapsed="false">
      <c r="A143" s="13" t="n">
        <v>79</v>
      </c>
      <c r="B143" s="13" t="n">
        <v>15</v>
      </c>
      <c r="C143" s="35" t="s">
        <v>116</v>
      </c>
      <c r="D143" s="36" t="s">
        <v>117</v>
      </c>
      <c r="E143" s="15" t="n">
        <f aca="false">K143-L143</f>
        <v>15</v>
      </c>
      <c r="F143" s="37" t="n">
        <v>8</v>
      </c>
      <c r="G143" s="38"/>
      <c r="H143" s="38"/>
      <c r="I143" s="38" t="n">
        <v>8</v>
      </c>
      <c r="J143" s="13" t="n">
        <f aca="false">IF(I143-E143 &lt;0,0,I143-E143)</f>
        <v>0</v>
      </c>
      <c r="K143" s="39" t="n">
        <v>15</v>
      </c>
      <c r="L143" s="7"/>
      <c r="M143" s="18"/>
      <c r="P143" s="20" t="s">
        <v>19</v>
      </c>
      <c r="Q143" s="20"/>
      <c r="R143" s="20"/>
      <c r="S143" s="20"/>
    </row>
    <row r="144" customFormat="false" ht="23.25" hidden="false" customHeight="false" outlineLevel="0" collapsed="false">
      <c r="A144" s="13" t="n">
        <v>79</v>
      </c>
      <c r="B144" s="13" t="n">
        <v>20</v>
      </c>
      <c r="C144" s="35" t="s">
        <v>118</v>
      </c>
      <c r="D144" s="36" t="s">
        <v>117</v>
      </c>
      <c r="E144" s="15" t="n">
        <f aca="false">K144-L144</f>
        <v>8</v>
      </c>
      <c r="F144" s="37" t="n">
        <v>8</v>
      </c>
      <c r="G144" s="38"/>
      <c r="H144" s="38"/>
      <c r="I144" s="38" t="n">
        <v>8</v>
      </c>
      <c r="J144" s="13" t="n">
        <f aca="false">IF(I144-E144 &lt;0,0,I144-E144)</f>
        <v>0</v>
      </c>
      <c r="K144" s="39" t="n">
        <v>8</v>
      </c>
      <c r="L144" s="7"/>
      <c r="M144" s="18"/>
    </row>
    <row r="145" customFormat="false" ht="23.25" hidden="false" customHeight="false" outlineLevel="0" collapsed="false">
      <c r="A145" s="13" t="n">
        <v>79</v>
      </c>
      <c r="B145" s="13" t="n">
        <v>19</v>
      </c>
      <c r="C145" s="35" t="s">
        <v>119</v>
      </c>
      <c r="D145" s="36" t="s">
        <v>117</v>
      </c>
      <c r="E145" s="15" t="n">
        <f aca="false">K145-L145</f>
        <v>19</v>
      </c>
      <c r="F145" s="37" t="n">
        <v>8</v>
      </c>
      <c r="G145" s="38"/>
      <c r="H145" s="38"/>
      <c r="I145" s="38" t="n">
        <v>8</v>
      </c>
      <c r="J145" s="13" t="n">
        <f aca="false">IF(I145-E145 &lt;0,0,I145-E145)</f>
        <v>0</v>
      </c>
      <c r="K145" s="39" t="n">
        <v>21</v>
      </c>
      <c r="L145" s="7" t="n">
        <v>2</v>
      </c>
      <c r="M145" s="18"/>
    </row>
    <row r="146" customFormat="false" ht="23.25" hidden="false" customHeight="false" outlineLevel="0" collapsed="false">
      <c r="A146" s="34" t="n">
        <v>79</v>
      </c>
      <c r="B146" s="34" t="n">
        <v>32</v>
      </c>
      <c r="C146" s="35" t="n">
        <v>9837205024</v>
      </c>
      <c r="D146" s="36" t="s">
        <v>117</v>
      </c>
      <c r="E146" s="15" t="n">
        <f aca="false">K146-L146</f>
        <v>11</v>
      </c>
      <c r="F146" s="37" t="s">
        <v>94</v>
      </c>
      <c r="G146" s="38" t="n">
        <v>1</v>
      </c>
      <c r="H146" s="38" t="s">
        <v>120</v>
      </c>
      <c r="I146" s="38" t="n">
        <v>8</v>
      </c>
      <c r="J146" s="13" t="n">
        <f aca="false">IF(I146-E146 &lt;0,0,I146-E146)</f>
        <v>0</v>
      </c>
      <c r="K146" s="39" t="n">
        <v>11</v>
      </c>
      <c r="L146" s="7"/>
      <c r="M146" s="18"/>
    </row>
    <row r="147" customFormat="false" ht="23.25" hidden="false" customHeight="false" outlineLevel="0" collapsed="false">
      <c r="A147" s="34" t="n">
        <v>79</v>
      </c>
      <c r="B147" s="34" t="n">
        <v>11</v>
      </c>
      <c r="C147" s="35" t="s">
        <v>121</v>
      </c>
      <c r="D147" s="36" t="s">
        <v>18</v>
      </c>
      <c r="E147" s="15" t="n">
        <f aca="false">K147-L147</f>
        <v>8</v>
      </c>
      <c r="F147" s="37" t="n">
        <v>8</v>
      </c>
      <c r="G147" s="38"/>
      <c r="H147" s="38"/>
      <c r="I147" s="38" t="n">
        <v>8</v>
      </c>
      <c r="J147" s="13" t="n">
        <f aca="false">IF(I147-E147 &lt;0,0,I147-E147)</f>
        <v>0</v>
      </c>
      <c r="K147" s="39" t="n">
        <v>8</v>
      </c>
      <c r="L147" s="7"/>
      <c r="M147" s="18"/>
    </row>
    <row r="148" customFormat="false" ht="23.25" hidden="false" customHeight="false" outlineLevel="0" collapsed="false">
      <c r="A148" s="13" t="n">
        <v>79</v>
      </c>
      <c r="B148" s="13" t="n">
        <v>17</v>
      </c>
      <c r="C148" s="35" t="n">
        <v>9975040024</v>
      </c>
      <c r="D148" s="36" t="s">
        <v>122</v>
      </c>
      <c r="E148" s="15" t="n">
        <f aca="false">K148-L148</f>
        <v>8</v>
      </c>
      <c r="F148" s="37" t="n">
        <v>8</v>
      </c>
      <c r="G148" s="38"/>
      <c r="H148" s="38"/>
      <c r="I148" s="38" t="n">
        <v>8</v>
      </c>
      <c r="J148" s="13" t="n">
        <f aca="false">IF(I148-E148 &lt;0,0,I148-E148)</f>
        <v>0</v>
      </c>
      <c r="K148" s="39" t="n">
        <v>8</v>
      </c>
      <c r="L148" s="7"/>
      <c r="M148" s="18"/>
    </row>
    <row r="149" customFormat="false" ht="23.25" hidden="false" customHeight="false" outlineLevel="0" collapsed="false">
      <c r="A149" s="13" t="n">
        <v>79</v>
      </c>
      <c r="B149" s="13" t="n">
        <v>33</v>
      </c>
      <c r="C149" s="42" t="n">
        <v>298530350</v>
      </c>
      <c r="D149" s="39"/>
      <c r="E149" s="15" t="n">
        <f aca="false">K149-L149</f>
        <v>4</v>
      </c>
      <c r="F149" s="43"/>
      <c r="G149" s="39"/>
      <c r="H149" s="39"/>
      <c r="I149" s="13"/>
      <c r="J149" s="13"/>
      <c r="K149" s="39" t="n">
        <v>4</v>
      </c>
      <c r="L149" s="7"/>
      <c r="M149" s="18"/>
    </row>
    <row r="150" customFormat="false" ht="23.25" hidden="false" customHeight="false" outlineLevel="0" collapsed="false">
      <c r="A150" s="13" t="n">
        <v>79</v>
      </c>
      <c r="B150" s="13" t="n">
        <v>34</v>
      </c>
      <c r="C150" s="42" t="n">
        <v>9866207025</v>
      </c>
      <c r="D150" s="39" t="s">
        <v>123</v>
      </c>
      <c r="E150" s="15" t="n">
        <f aca="false">K150-L150</f>
        <v>8</v>
      </c>
      <c r="F150" s="43"/>
      <c r="G150" s="39"/>
      <c r="H150" s="39"/>
      <c r="I150" s="13"/>
      <c r="J150" s="13"/>
      <c r="K150" s="39" t="n">
        <v>16</v>
      </c>
      <c r="L150" s="7" t="n">
        <v>8</v>
      </c>
      <c r="M150" s="18"/>
    </row>
    <row r="151" customFormat="false" ht="23.25" hidden="false" customHeight="false" outlineLevel="0" collapsed="false">
      <c r="A151" s="13" t="n">
        <v>80</v>
      </c>
      <c r="B151" s="13" t="n">
        <v>1</v>
      </c>
      <c r="C151" s="42" t="n">
        <v>9520000630</v>
      </c>
      <c r="D151" s="39" t="s">
        <v>105</v>
      </c>
      <c r="E151" s="15" t="n">
        <f aca="false">K151-L151</f>
        <v>40</v>
      </c>
      <c r="F151" s="43" t="s">
        <v>108</v>
      </c>
      <c r="G151" s="39" t="n">
        <v>1</v>
      </c>
      <c r="H151" s="39" t="s">
        <v>124</v>
      </c>
      <c r="I151" s="13" t="n">
        <v>2</v>
      </c>
      <c r="J151" s="13" t="n">
        <f aca="false">IF(I151-E151 &lt;0,0,I151-E151)</f>
        <v>0</v>
      </c>
      <c r="K151" s="39" t="n">
        <v>40</v>
      </c>
      <c r="L151" s="7"/>
      <c r="M151" s="18"/>
    </row>
    <row r="152" customFormat="false" ht="23.25" hidden="false" customHeight="false" outlineLevel="0" collapsed="false">
      <c r="A152" s="13" t="n">
        <v>79</v>
      </c>
      <c r="B152" s="13" t="n">
        <v>36</v>
      </c>
      <c r="C152" s="42" t="n">
        <v>9550180142</v>
      </c>
      <c r="D152" s="39" t="s">
        <v>112</v>
      </c>
      <c r="E152" s="15" t="n">
        <f aca="false">K152-L152</f>
        <v>16</v>
      </c>
      <c r="F152" s="43" t="s">
        <v>113</v>
      </c>
      <c r="G152" s="39" t="n">
        <v>1</v>
      </c>
      <c r="H152" s="39" t="s">
        <v>125</v>
      </c>
      <c r="I152" s="13" t="n">
        <v>2</v>
      </c>
      <c r="J152" s="13" t="n">
        <f aca="false">IF(I152-E152 &lt;0,0,I152-E152)</f>
        <v>0</v>
      </c>
      <c r="K152" s="39" t="n">
        <v>16</v>
      </c>
      <c r="L152" s="7"/>
      <c r="M152" s="18"/>
    </row>
    <row r="153" customFormat="false" ht="23.25" hidden="false" customHeight="false" outlineLevel="0" collapsed="false">
      <c r="A153" s="13" t="n">
        <v>79</v>
      </c>
      <c r="B153" s="13" t="n">
        <v>41</v>
      </c>
      <c r="C153" s="42" t="s">
        <v>126</v>
      </c>
      <c r="D153" s="39" t="s">
        <v>127</v>
      </c>
      <c r="E153" s="15" t="n">
        <f aca="false">K153-L153</f>
        <v>10</v>
      </c>
      <c r="F153" s="43" t="s">
        <v>128</v>
      </c>
      <c r="G153" s="39" t="n">
        <v>1</v>
      </c>
      <c r="H153" s="39" t="n">
        <v>330</v>
      </c>
      <c r="I153" s="13" t="n">
        <v>8</v>
      </c>
      <c r="J153" s="13" t="n">
        <f aca="false">IF(I153-E153 &lt;0,0,I153-E153)</f>
        <v>0</v>
      </c>
      <c r="K153" s="39" t="n">
        <v>10</v>
      </c>
      <c r="L153" s="7"/>
      <c r="M153" s="18"/>
    </row>
    <row r="154" customFormat="false" ht="23.25" hidden="false" customHeight="false" outlineLevel="0" collapsed="false">
      <c r="A154" s="13" t="n">
        <v>79</v>
      </c>
      <c r="B154" s="13" t="n">
        <v>35</v>
      </c>
      <c r="C154" s="42" t="n">
        <v>9550194270</v>
      </c>
      <c r="D154" s="39" t="s">
        <v>129</v>
      </c>
      <c r="E154" s="15" t="n">
        <f aca="false">K154-L154</f>
        <v>6</v>
      </c>
      <c r="F154" s="43" t="s">
        <v>130</v>
      </c>
      <c r="G154" s="39" t="n">
        <v>1</v>
      </c>
      <c r="H154" s="39" t="s">
        <v>120</v>
      </c>
      <c r="I154" s="13" t="n">
        <v>4</v>
      </c>
      <c r="J154" s="13" t="n">
        <f aca="false">IF(I154-E154 &lt;0,0,I154-E154)</f>
        <v>0</v>
      </c>
      <c r="K154" s="39" t="n">
        <v>6</v>
      </c>
      <c r="L154" s="7"/>
      <c r="M154" s="18"/>
    </row>
    <row r="155" customFormat="false" ht="23.25" hidden="false" customHeight="false" outlineLevel="0" collapsed="false">
      <c r="A155" s="13" t="n">
        <v>80</v>
      </c>
      <c r="B155" s="13" t="n">
        <v>2</v>
      </c>
      <c r="C155" s="42" t="s">
        <v>131</v>
      </c>
      <c r="D155" s="39" t="s">
        <v>132</v>
      </c>
      <c r="E155" s="15" t="n">
        <f aca="false">K155-L155</f>
        <v>4</v>
      </c>
      <c r="F155" s="43" t="s">
        <v>108</v>
      </c>
      <c r="G155" s="39" t="n">
        <v>1</v>
      </c>
      <c r="H155" s="39" t="s">
        <v>76</v>
      </c>
      <c r="I155" s="13" t="n">
        <v>4</v>
      </c>
      <c r="J155" s="13" t="n">
        <f aca="false">IF(I155-E155 &lt;0,0,I155-E155)</f>
        <v>0</v>
      </c>
      <c r="K155" s="39" t="n">
        <v>4</v>
      </c>
      <c r="L155" s="7"/>
      <c r="M155" s="18"/>
    </row>
    <row r="156" customFormat="false" ht="23.25" hidden="false" customHeight="false" outlineLevel="0" collapsed="false">
      <c r="A156" s="13" t="n">
        <v>79</v>
      </c>
      <c r="B156" s="44" t="n">
        <v>19</v>
      </c>
      <c r="C156" s="35" t="s">
        <v>119</v>
      </c>
      <c r="D156" s="36" t="s">
        <v>133</v>
      </c>
      <c r="E156" s="15" t="n">
        <f aca="false">K156-L156</f>
        <v>0</v>
      </c>
      <c r="F156" s="37" t="n">
        <v>8</v>
      </c>
      <c r="G156" s="38"/>
      <c r="H156" s="38"/>
      <c r="I156" s="38" t="n">
        <v>8</v>
      </c>
      <c r="J156" s="13" t="n">
        <f aca="false">IF(I156-E156 &lt;0,0,I156-E156)</f>
        <v>8</v>
      </c>
      <c r="K156" s="39" t="n">
        <v>6</v>
      </c>
      <c r="L156" s="7" t="n">
        <v>6</v>
      </c>
      <c r="M156" s="18"/>
    </row>
    <row r="157" customFormat="false" ht="15" hidden="false" customHeight="false" outlineLevel="0" collapsed="false">
      <c r="L157" s="28"/>
    </row>
    <row r="158" customFormat="false" ht="15" hidden="false" customHeight="false" outlineLevel="0" collapsed="false">
      <c r="L158" s="28"/>
    </row>
    <row r="159" customFormat="false" ht="15" hidden="false" customHeight="false" outlineLevel="0" collapsed="false">
      <c r="L159" s="28"/>
    </row>
  </sheetData>
  <autoFilter ref="A1:L866"/>
  <mergeCells count="9">
    <mergeCell ref="P4:S4"/>
    <mergeCell ref="P5:S5"/>
    <mergeCell ref="P6:S6"/>
    <mergeCell ref="O95:R95"/>
    <mergeCell ref="O96:R96"/>
    <mergeCell ref="O97:R97"/>
    <mergeCell ref="P141:S141"/>
    <mergeCell ref="P142:S142"/>
    <mergeCell ref="P143:S143"/>
  </mergeCells>
  <conditionalFormatting sqref="E2:E156 F2:I128 K2:L128 D7:D8 D11 D27 D40 D57 D59 D70:D71 D76:D78 D80:D81 D85:D86 D88 D91 D94 D99 D102 D108 D112:D113 D115 D117 D121:D122">
    <cfRule type="cellIs" priority="2" operator="lessThanOrEqual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LibreOffice/25.2.5.1$Windows_X86_64 LibreOffice_project/484541f705153d4ff78284873b0153c3e5a280db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2026-02-02T16:25:04Z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